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10e88794c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5dceef7d0ef42d7"/>
    <x:sheet xmlns:r="http://schemas.openxmlformats.org/officeDocument/2006/relationships" name="P2P_Data" sheetId="2" r:id="Rebdaa65f134f4b3e"/>
    <x:sheet xmlns:r="http://schemas.openxmlformats.org/officeDocument/2006/relationships" name="Material_Master" sheetId="3" r:id="Rc483945199e548f5"/>
    <x:sheet xmlns:r="http://schemas.openxmlformats.org/officeDocument/2006/relationships" name="Supplier_Master" sheetId="4" r:id="R471fe292a6e6472d"/>
    <x:sheet xmlns:r="http://schemas.openxmlformats.org/officeDocument/2006/relationships" name="Dashboard" sheetId="5" r:id="R3549b737371640a8"/>
    <x:sheet xmlns:r="http://schemas.openxmlformats.org/officeDocument/2006/relationships" name="Process_Map" sheetId="6" r:id="R04c9f2db027a498e"/>
    <x:sheet xmlns:r="http://schemas.openxmlformats.org/officeDocument/2006/relationships" name="Interview_Notes" sheetId="7" r:id="Rdffb0f331d48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yy"/>
    <x:numFmt numFmtId="201" formatCode="₹#,##0.00"/>
    <x:numFmt numFmtId="202" formatCode="0"/>
    <x:numFmt numFmtId="203" formatCode="₹#,##0"/>
    <x:numFmt numFmtId="204" formatCode="0.0%"/>
    <x:numFmt numFmtId="205" formatCode="0.0"/>
    <x:numFmt numFmtId="206" formatCode="mmm-yy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17365D"/>
      <x:name val="Arial"/>
    </x:font>
    <x:font>
      <x:b/>
      <x:sz val="11"/>
      <x:color rgb="FFFFFFFF"/>
      <x:name val="Carlito"/>
    </x:font>
    <x:font>
      <x:b/>
      <x:sz val="14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8FBFD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203" fontId="7" fillId="5" borderId="0" xfId="0" applyNumberFormat="1" applyFont="1" applyFill="1" applyBorder="1" applyAlignment="1">
      <x:alignment horizontal="center"/>
    </x:xf>
    <x:xf numFmtId="203" fontId="7" fillId="5" borderId="1" xfId="0" applyNumberFormat="1" applyFont="1" applyFill="1" applyBorder="1" applyAlignment="1">
      <x:alignment horizontal="center"/>
    </x:xf>
    <x:xf numFmtId="202" fontId="7" fillId="5" borderId="0" xfId="0" applyNumberFormat="1" applyFont="1" applyFill="1" applyBorder="1" applyAlignment="1">
      <x:alignment horizontal="center"/>
    </x:xf>
    <x:xf numFmtId="202" fontId="7" fillId="5" borderId="1" xfId="0" applyNumberFormat="1" applyFont="1" applyFill="1" applyBorder="1" applyAlignment="1">
      <x:alignment horizontal="center"/>
    </x:xf>
    <x:xf numFmtId="204" fontId="7" fillId="5" borderId="0" xfId="0" applyNumberFormat="1" applyFont="1" applyFill="1" applyBorder="1" applyAlignment="1">
      <x:alignment horizontal="center"/>
    </x:xf>
    <x:xf numFmtId="204" fontId="7" fillId="5" borderId="1" xfId="0" applyNumberFormat="1" applyFont="1" applyFill="1" applyBorder="1" applyAlignment="1">
      <x:alignment horizontal="center"/>
    </x:xf>
    <x:xf numFmtId="205" fontId="7" fillId="5" borderId="0" xfId="0" applyNumberFormat="1" applyFont="1" applyFill="1" applyBorder="1" applyAlignment="1">
      <x:alignment horizontal="center"/>
    </x:xf>
    <x:xf numFmtId="205" fontId="7" fillId="5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66803ec5241d9" /><Relationship Type="http://schemas.openxmlformats.org/officeDocument/2006/relationships/theme" Target="/xl/theme/theme1.xml" Id="Re3a79393c9c84737" /><Relationship Type="http://schemas.openxmlformats.org/officeDocument/2006/relationships/sharedStrings" Target="/xl/sharedStrings.xml" Id="R633da8da450e4fb1" /><Relationship Type="http://schemas.openxmlformats.org/officeDocument/2006/relationships/worksheet" Target="/xl/worksheets/sheet1.xml" Id="Ra5dceef7d0ef42d7" /><Relationship Type="http://schemas.openxmlformats.org/officeDocument/2006/relationships/worksheet" Target="/xl/worksheets/sheet2.xml" Id="Rebdaa65f134f4b3e" /><Relationship Type="http://schemas.openxmlformats.org/officeDocument/2006/relationships/worksheet" Target="/xl/worksheets/sheet3.xml" Id="Rc483945199e548f5" /><Relationship Type="http://schemas.openxmlformats.org/officeDocument/2006/relationships/worksheet" Target="/xl/worksheets/sheet4.xml" Id="R471fe292a6e6472d" /><Relationship Type="http://schemas.openxmlformats.org/officeDocument/2006/relationships/worksheet" Target="/xl/worksheets/sheet5.xml" Id="R3549b737371640a8" /><Relationship Type="http://schemas.openxmlformats.org/officeDocument/2006/relationships/worksheet" Target="/xl/worksheets/sheet6.xml" Id="R04c9f2db027a498e" /><Relationship Type="http://schemas.openxmlformats.org/officeDocument/2006/relationships/worksheet" Target="/xl/worksheets/sheet7.xml" Id="Rdffb0f331d484d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32d0e688c64223" /><Relationship Type="http://schemas.openxmlformats.org/officeDocument/2006/relationships/chart" Target="/xl/drawings/charts/chart2.xml" Id="R0c3694a5c1744669" /><Relationship Type="http://schemas.openxmlformats.org/officeDocument/2006/relationships/chart" Target="/xl/drawings/charts/chart3.xml" Id="R5cd86234bb4644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Spend by Material Group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PO Spend</c:v>
          </c:tx>
          <c:cat>
            <c:strRef>
              <c:f>'Dashboard'!$A$15:$A$27</c:f>
              <c:strCache>
                <c:ptCount val="0"/>
              </c:strCache>
            </c:strRef>
          </c:cat>
          <c:val>
            <c:numRef>
              <c:f>'Dashboard'!$B$15:$B$27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PO Spend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PO Spend</c:v>
          </c:tx>
          <c:marker>
            <c:symbol val="none"/>
          </c:marker>
          <c:cat>
            <c:strRef>
              <c:f>'Dashboard'!$G$15:$G$23</c:f>
              <c:strCache>
                <c:ptCount val="0"/>
              </c:strCache>
            </c:strRef>
          </c:cat>
          <c:val>
            <c:numRef>
              <c:f>'Dashboard'!$H$15:$H$23</c:f>
              <c:numCache>
                <c:formatCode>₹#,##0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Spend by Supplier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PO Spend</c:v>
          </c:tx>
          <c:cat>
            <c:strRef>
              <c:f>'Dashboard'!$D$15:$D$26</c:f>
              <c:strCache>
                <c:ptCount val="0"/>
              </c:strCache>
            </c:strRef>
          </c:cat>
          <c:val>
            <c:numRef>
              <c:f>'Dashboard'!$E$15:$E$26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32d0e688c64223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3694a5c1744669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d86234bb4644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2PTable" displayName="P2PTable" ref="A1:AF241" headerRowCount="1" totalsRowCount="0" totalsRowShown="0">
  <x:tableColumns count="32">
    <x:tableColumn id="1" name="PR_ID"/>
    <x:tableColumn id="2" name="PR_Date"/>
    <x:tableColumn id="3" name="Department"/>
    <x:tableColumn id="4" name="Project_ID"/>
    <x:tableColumn id="5" name="Material_ID"/>
    <x:tableColumn id="6" name="Material_Description"/>
    <x:tableColumn id="7" name="Material_Group"/>
    <x:tableColumn id="8" name="UOM"/>
    <x:tableColumn id="9" name="Supplier_ID"/>
    <x:tableColumn id="10" name="Supplier_Name"/>
    <x:tableColumn id="11" name="Supplier_State"/>
    <x:tableColumn id="12" name="PR_Qty"/>
    <x:tableColumn id="13" name="PO_ID"/>
    <x:tableColumn id="14" name="PO_Date"/>
    <x:tableColumn id="15" name="Unit_Price_INR"/>
    <x:tableColumn id="16" name="Payment_Terms"/>
    <x:tableColumn id="17" name="Buyer"/>
    <x:tableColumn id="18" name="Expected_Delivery_Date"/>
    <x:tableColumn id="19" name="GR_Date"/>
    <x:tableColumn id="20" name="GR_Qty"/>
    <x:tableColumn id="21" name="Invoice_ID"/>
    <x:tableColumn id="22" name="Invoice_Date"/>
    <x:tableColumn id="23" name="Invoice_Qty"/>
    <x:tableColumn id="24" name="Invoice_Amount_INR"/>
    <x:tableColumn id="25" name="Payment_Status"/>
    <x:tableColumn id="26" name="PO_Value_INR"/>
    <x:tableColumn id="27" name="Lead_Time_Days"/>
    <x:tableColumn id="28" name="Delivery_Status"/>
    <x:tableColumn id="29" name="Receipt_Qty_Status"/>
    <x:tableColumn id="30" name="Invoice_Value_Status"/>
    <x:tableColumn id="31" name="Three_Way_Match_Status"/>
    <x:tableColumn id="32" name="Open_Q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MasterTable" displayName="MaterialMasterTable" ref="A1:H41" headerRowCount="1" totalsRowCount="0" totalsRowShown="0">
  <x:tableColumns count="8">
    <x:tableColumn id="1" name="Material_ID"/>
    <x:tableColumn id="2" name="Material_Description"/>
    <x:tableColumn id="3" name="Material_Group"/>
    <x:tableColumn id="4" name="Base_UOM"/>
    <x:tableColumn id="5" name="Standard_Price_INR"/>
    <x:tableColumn id="6" name="Reorder_Level"/>
    <x:tableColumn id="7" name="Data_Quality_Status"/>
    <x:tableColumn id="8" name="Data_Quality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MasterTable" displayName="SupplierMasterTable" ref="A1:E13" headerRowCount="1" totalsRowCount="0" totalsRowShown="0">
  <x:tableColumns count="5">
    <x:tableColumn id="1" name="Supplier_ID"/>
    <x:tableColumn id="2" name="Supplier_Name"/>
    <x:tableColumn id="3" name="State"/>
    <x:tableColumn id="4" name="Primary_Category_Focus"/>
    <x:tableColumn id="5" name="Preferred_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31182f640941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5d1d24503a44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3869d21c3e4d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e576208073f44c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18" t="str">
        <x:v>SAP MM / S/4HANA Procure-to-Pay Simulation Project</x:v>
      </x:c>
      <x:c r="B1" s="18"/>
      <x:c r="C1" s="18"/>
      <x:c r="D1" s="18"/>
      <x:c r="E1" s="18"/>
      <x:c r="F1" s="18"/>
      <x:c r="G1" s="18"/>
      <x:c r="H1" s="18"/>
    </x:row>
    <x:row r="2" ht="20" customHeight="1">
      <x:c r="A2" s="18"/>
      <x:c r="B2" s="18"/>
      <x:c r="C2" s="18"/>
      <x:c r="D2" s="18"/>
      <x:c r="E2" s="18"/>
      <x:c r="F2" s="18"/>
      <x:c r="G2" s="18"/>
      <x:c r="H2" s="18"/>
    </x:row>
    <x:row r="3" ht="20" customHeight="1">
      <x:c r="A3" s="19"/>
      <x:c r="B3" s="19"/>
      <x:c r="C3" s="19"/>
      <x:c r="D3" s="19"/>
      <x:c r="E3" s="19"/>
      <x:c r="F3" s="19"/>
      <x:c r="G3" s="19"/>
      <x:c r="H3" s="19"/>
    </x:row>
    <x:row r="4" ht="20" customHeight="1">
      <x:c r="A4" s="20" t="str">
        <x:v>Project Purpose</x:v>
      </x:c>
      <x:c r="B4" s="20"/>
      <x:c r="C4" s="20"/>
      <x:c r="D4" s="20"/>
      <x:c r="E4" s="20"/>
      <x:c r="F4" s="20"/>
      <x:c r="G4" s="20"/>
      <x:c r="H4" s="20"/>
    </x:row>
    <x:row r="5" ht="20" customHeight="1">
      <x:c r="A5" s="21" t="str">
        <x:v>Portfolio project simulating an SAP MM Procure-to-Pay process using synthetic procurement data. It demonstrates Purchase Requisition → Purchase Order → Goods Receipt → Invoice Verification, plus supplier performance, delivery performance, three-way match exceptions, and material-master data quality. This is an educational simulation; it does not claim access to a live SAP system.</x:v>
      </x:c>
      <x:c r="B5" s="21"/>
      <x:c r="C5" s="21"/>
      <x:c r="D5" s="21"/>
      <x:c r="E5" s="21"/>
      <x:c r="F5" s="21"/>
      <x:c r="G5" s="21"/>
      <x:c r="H5" s="21"/>
    </x:row>
    <x:row r="6" ht="20" customHeight="1">
      <x:c r="A6" s="21"/>
      <x:c r="B6" s="21"/>
      <x:c r="C6" s="21"/>
      <x:c r="D6" s="21"/>
      <x:c r="E6" s="21"/>
      <x:c r="F6" s="21"/>
      <x:c r="G6" s="21"/>
      <x:c r="H6" s="21"/>
    </x:row>
    <x:row r="7" ht="20" customHeight="1">
      <x:c r="A7" s="21"/>
      <x:c r="B7" s="21"/>
      <x:c r="C7" s="21"/>
      <x:c r="D7" s="21"/>
      <x:c r="E7" s="21"/>
      <x:c r="F7" s="21"/>
      <x:c r="G7" s="21"/>
      <x:c r="H7" s="21"/>
    </x:row>
    <x:row r="8" ht="20" customHeight="1">
      <x:c r="A8" s="21"/>
      <x:c r="B8" s="21"/>
      <x:c r="C8" s="21"/>
      <x:c r="D8" s="21"/>
      <x:c r="E8" s="21"/>
      <x:c r="F8" s="21"/>
      <x:c r="G8" s="21"/>
      <x:c r="H8" s="21"/>
    </x:row>
    <x:row r="9" ht="20" customHeight="1">
      <x:c r="A9" s="19"/>
      <x:c r="B9" s="19"/>
      <x:c r="C9" s="19"/>
      <x:c r="D9" s="19"/>
      <x:c r="E9" s="19"/>
      <x:c r="F9" s="19"/>
      <x:c r="G9" s="19"/>
      <x:c r="H9" s="19"/>
    </x:row>
    <x:row r="10" ht="20" customHeight="1">
      <x:c r="A10" s="20" t="str">
        <x:v>Key Business Questions</x:v>
      </x:c>
      <x:c r="B10" s="20"/>
      <x:c r="C10" s="20"/>
      <x:c r="D10" s="20"/>
      <x:c r="E10" s="20"/>
      <x:c r="F10" s="20"/>
      <x:c r="G10" s="20"/>
      <x:c r="H10" s="20"/>
    </x:row>
    <x:row r="11" ht="20" customHeight="1">
      <x:c r="A11" s="19" t="str">
        <x:v>1</x:v>
      </x:c>
      <x:c r="B11" s="21" t="str">
        <x:v>How much procurement spend is represented in the dataset?</x:v>
      </x:c>
      <x:c r="C11" s="19"/>
      <x:c r="D11" s="19"/>
      <x:c r="E11" s="19"/>
      <x:c r="F11" s="19"/>
      <x:c r="G11" s="19"/>
      <x:c r="H11" s="19"/>
    </x:row>
    <x:row r="12" ht="20" customHeight="1">
      <x:c r="A12" s="19" t="str">
        <x:v>2</x:v>
      </x:c>
      <x:c r="B12" s="21" t="str">
        <x:v>Which suppliers and material groups drive the most PO value?</x:v>
      </x:c>
      <x:c r="C12" s="19"/>
      <x:c r="D12" s="19"/>
      <x:c r="E12" s="19"/>
      <x:c r="F12" s="19"/>
      <x:c r="G12" s="19"/>
      <x:c r="H12" s="19"/>
    </x:row>
    <x:row r="13" ht="20" customHeight="1">
      <x:c r="A13" s="19" t="str">
        <x:v>3</x:v>
      </x:c>
      <x:c r="B13" s="21" t="str">
        <x:v>What percentage of completed orders were delivered on time?</x:v>
      </x:c>
      <x:c r="C13" s="19"/>
      <x:c r="D13" s="19"/>
      <x:c r="E13" s="19"/>
      <x:c r="F13" s="19"/>
      <x:c r="G13" s="19"/>
      <x:c r="H13" s="19"/>
    </x:row>
    <x:row r="14" ht="20" customHeight="1">
      <x:c r="A14" s="19" t="str">
        <x:v>4</x:v>
      </x:c>
      <x:c r="B14" s="21" t="str">
        <x:v>How many PO/GR/invoice records pass a three-way match?</x:v>
      </x:c>
      <x:c r="C14" s="19"/>
      <x:c r="D14" s="19"/>
      <x:c r="E14" s="19"/>
      <x:c r="F14" s="19"/>
      <x:c r="G14" s="19"/>
      <x:c r="H14" s="19"/>
    </x:row>
    <x:row r="15" ht="20" customHeight="1">
      <x:c r="A15" s="19" t="str">
        <x:v>5</x:v>
      </x:c>
      <x:c r="B15" s="21" t="str">
        <x:v>Which orders should be reviewed because of quantity or invoice-value exceptions?</x:v>
      </x:c>
      <x:c r="C15" s="19"/>
      <x:c r="D15" s="19"/>
      <x:c r="E15" s="19"/>
      <x:c r="F15" s="19"/>
      <x:c r="G15" s="19"/>
      <x:c r="H15" s="19"/>
    </x:row>
    <x:row r="16" ht="20" customHeight="1">
      <x:c r="A16" s="19"/>
      <x:c r="B16" s="19"/>
      <x:c r="C16" s="19"/>
      <x:c r="D16" s="19"/>
      <x:c r="E16" s="19"/>
      <x:c r="F16" s="19"/>
      <x:c r="G16" s="19"/>
      <x:c r="H16" s="19"/>
    </x:row>
    <x:row r="17" ht="20" customHeight="1">
      <x:c r="A17" s="20" t="str">
        <x:v>Skills Demonstrated</x:v>
      </x:c>
      <x:c r="B17" s="20"/>
      <x:c r="C17" s="20"/>
      <x:c r="D17" s="20"/>
      <x:c r="E17" s="20"/>
      <x:c r="F17" s="20"/>
      <x:c r="G17" s="20"/>
      <x:c r="H17" s="20"/>
    </x:row>
    <x:row r="18" ht="20" customHeight="1">
      <x:c r="A18" s="21" t="str">
        <x:v>SAP MM business-process understanding • Procure-to-Pay • Purchase Requisition • Purchase Order • Goods Receipt • Invoice Verification • Three-Way Match • Material Master • Supplier Master • Excel formulas • KPI reporting • Exception analysis • Data validation • Procurement analytics</x:v>
      </x:c>
      <x:c r="B18" s="21"/>
      <x:c r="C18" s="21"/>
      <x:c r="D18" s="21"/>
      <x:c r="E18" s="21"/>
      <x:c r="F18" s="21"/>
      <x:c r="G18" s="21"/>
      <x:c r="H18" s="21"/>
    </x:row>
    <x:row r="19" ht="20" customHeight="1">
      <x:c r="A19" s="21"/>
      <x:c r="B19" s="21"/>
      <x:c r="C19" s="21"/>
      <x:c r="D19" s="21"/>
      <x:c r="E19" s="21"/>
      <x:c r="F19" s="21"/>
      <x:c r="G19" s="21"/>
      <x:c r="H19" s="21"/>
    </x:row>
    <x:row r="20" ht="20" customHeight="1">
      <x:c r="A20" s="21"/>
      <x:c r="B20" s="21"/>
      <x:c r="C20" s="21"/>
      <x:c r="D20" s="21"/>
      <x:c r="E20" s="21"/>
      <x:c r="F20" s="21"/>
      <x:c r="G20" s="21"/>
      <x:c r="H20" s="21"/>
    </x:row>
    <x:row r="21" ht="20" customHeight="1">
      <x:c r="A21" s="21"/>
      <x:c r="B21" s="21"/>
      <x:c r="C21" s="21"/>
      <x:c r="D21" s="21"/>
      <x:c r="E21" s="21"/>
      <x:c r="F21" s="21"/>
      <x:c r="G21" s="21"/>
      <x:c r="H21" s="21"/>
    </x:row>
    <x:row r="22" ht="20" customHeight="1">
      <x:c r="A22" s="19"/>
      <x:c r="B22" s="19"/>
      <x:c r="C22" s="19"/>
      <x:c r="D22" s="19"/>
      <x:c r="E22" s="19"/>
      <x:c r="F22" s="19"/>
      <x:c r="G22" s="19"/>
      <x:c r="H22" s="19"/>
    </x:row>
    <x:row r="23" ht="20" customHeight="1">
      <x:c r="A23" s="20" t="str">
        <x:v>Dataset Notes</x:v>
      </x:c>
      <x:c r="B23" s="20"/>
      <x:c r="C23" s="20"/>
      <x:c r="D23" s="20"/>
      <x:c r="E23" s="20"/>
      <x:c r="F23" s="20"/>
      <x:c r="G23" s="20"/>
      <x:c r="H23" s="20"/>
    </x:row>
    <x:row r="24" ht="20" customHeight="1">
      <x:c r="A24" s="21" t="str">
        <x:v>Synthetic dataset with 240 purchase-order line records across Jan–Sep 2026, 40 materials and 12 suppliers. Delays, partial receipts, invoice mismatches and open POs are intentionally included to create realistic exception scenarios.</x:v>
      </x:c>
      <x:c r="B24" s="21"/>
      <x:c r="C24" s="21"/>
      <x:c r="D24" s="21"/>
      <x:c r="E24" s="21"/>
      <x:c r="F24" s="21"/>
      <x:c r="G24" s="21"/>
      <x:c r="H24" s="21"/>
    </x:row>
    <x:row r="25" ht="20" customHeight="1">
      <x:c r="A25" s="21"/>
      <x:c r="B25" s="21"/>
      <x:c r="C25" s="21"/>
      <x:c r="D25" s="21"/>
      <x:c r="E25" s="21"/>
      <x:c r="F25" s="21"/>
      <x:c r="G25" s="21"/>
      <x:c r="H25" s="21"/>
    </x:row>
    <x:row r="26" ht="20" customHeight="1">
      <x:c r="A26" s="21"/>
      <x:c r="B26" s="21"/>
      <x:c r="C26" s="21"/>
      <x:c r="D26" s="21"/>
      <x:c r="E26" s="21"/>
      <x:c r="F26" s="21"/>
      <x:c r="G26" s="21"/>
      <x:c r="H26" s="21"/>
    </x:row>
    <x:row r="27" ht="20" customHeight="1">
      <x:c r="A27" s="21"/>
      <x:c r="B27" s="21"/>
      <x:c r="C27" s="21"/>
      <x:c r="D27" s="21"/>
      <x:c r="E27" s="21"/>
      <x:c r="F27" s="21"/>
      <x:c r="G27" s="21"/>
      <x:c r="H27" s="21"/>
    </x:row>
    <x:row r="28" ht="20" customHeight="1">
      <x:c r="A28" s="19"/>
      <x:c r="B28" s="19"/>
      <x:c r="C28" s="19"/>
      <x:c r="D28" s="19"/>
      <x:c r="E28" s="19"/>
      <x:c r="F28" s="19"/>
      <x:c r="G28" s="19"/>
      <x:c r="H28" s="19"/>
    </x:row>
    <x:row r="29" ht="20" customHeight="1">
      <x:c r="A29" s="19"/>
      <x:c r="B29" s="19"/>
      <x:c r="C29" s="19"/>
      <x:c r="D29" s="19"/>
      <x:c r="E29" s="19"/>
      <x:c r="F29" s="19"/>
      <x:c r="G29" s="19"/>
      <x:c r="H29" s="19"/>
    </x:row>
    <x:row r="30" ht="20" customHeight="1">
      <x:c r="A30" s="19"/>
      <x:c r="B30" s="19"/>
      <x:c r="C30" s="19"/>
      <x:c r="D30" s="19"/>
      <x:c r="E30" s="19"/>
      <x:c r="F30" s="19"/>
      <x:c r="G30" s="19"/>
      <x:c r="H30" s="19"/>
    </x:row>
  </x:sheetData>
  <x:mergeCells>
    <x:mergeCell ref="A1:H2"/>
    <x:mergeCell ref="A4:H4"/>
    <x:mergeCell ref="A5:H8"/>
    <x:mergeCell ref="A10:H10"/>
    <x:mergeCell ref="A17:H17"/>
    <x:mergeCell ref="A18:H21"/>
    <x:mergeCell ref="A23:H23"/>
    <x:mergeCell ref="A24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1" hidden="0" customWidth="1"/>
    <x:col min="5" max="5" width="11" hidden="0" customWidth="1"/>
    <x:col min="6" max="6" width="26" hidden="0" customWidth="1"/>
    <x:col min="7" max="7" width="18" hidden="0" customWidth="1"/>
    <x:col min="8" max="8" width="9" hidden="0" customWidth="1"/>
    <x:col min="9" max="9" width="11" hidden="0" customWidth="1"/>
    <x:col min="10" max="10" width="25" hidden="0" customWidth="1"/>
    <x:col min="11" max="11" width="15" hidden="0" customWidth="1"/>
    <x:col min="12" max="12" width="9" hidden="0" customWidth="1"/>
    <x:col min="13" max="13" width="13" hidden="0" customWidth="1"/>
    <x:col min="14" max="14" width="12" hidden="0" customWidth="1"/>
    <x:col min="15" max="15" width="13" hidden="0" customWidth="1"/>
    <x:col min="16" max="16" width="13" hidden="0" customWidth="1"/>
    <x:col min="17" max="17" width="12" hidden="0" customWidth="1"/>
    <x:col min="18" max="18" width="16" hidden="0" customWidth="1"/>
    <x:col min="19" max="19" width="12" hidden="0" customWidth="1"/>
    <x:col min="20" max="20" width="9" hidden="0" customWidth="1"/>
    <x:col min="21" max="21" width="14" hidden="0" customWidth="1"/>
    <x:col min="22" max="22" width="12" hidden="0" customWidth="1"/>
    <x:col min="23" max="23" width="10" hidden="0" customWidth="1"/>
    <x:col min="24" max="24" width="16" hidden="0" customWidth="1"/>
    <x:col min="25" max="25" width="18" hidden="0" customWidth="1"/>
    <x:col min="26" max="26" width="15" hidden="0" customWidth="1"/>
    <x:col min="27" max="27" width="13" hidden="0" customWidth="1"/>
    <x:col min="28" max="28" width="14" hidden="0" customWidth="1"/>
    <x:col min="29" max="29" width="17" hidden="0" customWidth="1"/>
    <x:col min="30" max="30" width="18" hidden="0" customWidth="1"/>
    <x:col min="31" max="31" width="20" hidden="0" customWidth="1"/>
    <x:col min="32" max="32" width="10" hidden="0" customWidth="1"/>
  </x:cols>
  <x:sheetData>
    <x:row r="1">
      <x:c r="A1" s="30" t="str">
        <x:v>PR_ID</x:v>
      </x:c>
      <x:c r="B1" s="30" t="str">
        <x:v>PR_Date</x:v>
      </x:c>
      <x:c r="C1" s="30" t="str">
        <x:v>Department</x:v>
      </x:c>
      <x:c r="D1" s="30" t="str">
        <x:v>Project_ID</x:v>
      </x:c>
      <x:c r="E1" s="30" t="str">
        <x:v>Material_ID</x:v>
      </x:c>
      <x:c r="F1" s="30" t="str">
        <x:v>Material_Description</x:v>
      </x:c>
      <x:c r="G1" s="30" t="str">
        <x:v>Material_Group</x:v>
      </x:c>
      <x:c r="H1" s="30" t="str">
        <x:v>UOM</x:v>
      </x:c>
      <x:c r="I1" s="30" t="str">
        <x:v>Supplier_ID</x:v>
      </x:c>
      <x:c r="J1" s="30" t="str">
        <x:v>Supplier_Name</x:v>
      </x:c>
      <x:c r="K1" s="30" t="str">
        <x:v>Supplier_State</x:v>
      </x:c>
      <x:c r="L1" s="30" t="str">
        <x:v>PR_Qty</x:v>
      </x:c>
      <x:c r="M1" s="30" t="str">
        <x:v>PO_ID</x:v>
      </x:c>
      <x:c r="N1" s="30" t="str">
        <x:v>PO_Date</x:v>
      </x:c>
      <x:c r="O1" s="30" t="str">
        <x:v>Unit_Price_INR</x:v>
      </x:c>
      <x:c r="P1" s="30" t="str">
        <x:v>Payment_Terms</x:v>
      </x:c>
      <x:c r="Q1" s="30" t="str">
        <x:v>Buyer</x:v>
      </x:c>
      <x:c r="R1" s="30" t="str">
        <x:v>Expected_Delivery_Date</x:v>
      </x:c>
      <x:c r="S1" s="30" t="str">
        <x:v>GR_Date</x:v>
      </x:c>
      <x:c r="T1" s="30" t="str">
        <x:v>GR_Qty</x:v>
      </x:c>
      <x:c r="U1" s="30" t="str">
        <x:v>Invoice_ID</x:v>
      </x:c>
      <x:c r="V1" s="30" t="str">
        <x:v>Invoice_Date</x:v>
      </x:c>
      <x:c r="W1" s="30" t="str">
        <x:v>Invoice_Qty</x:v>
      </x:c>
      <x:c r="X1" s="30" t="str">
        <x:v>Invoice_Amount_INR</x:v>
      </x:c>
      <x:c r="Y1" s="30" t="str">
        <x:v>Payment_Status</x:v>
      </x:c>
      <x:c r="Z1" s="30" t="str">
        <x:v>PO_Value_INR</x:v>
      </x:c>
      <x:c r="AA1" s="30" t="str">
        <x:v>Lead_Time_Days</x:v>
      </x:c>
      <x:c r="AB1" s="30" t="str">
        <x:v>Delivery_Status</x:v>
      </x:c>
      <x:c r="AC1" s="30" t="str">
        <x:v>Receipt_Qty_Status</x:v>
      </x:c>
      <x:c r="AD1" s="30" t="str">
        <x:v>Invoice_Value_Status</x:v>
      </x:c>
      <x:c r="AE1" s="30" t="str">
        <x:v>Three_Way_Match_Status</x:v>
      </x:c>
      <x:c r="AF1" s="30" t="str">
        <x:v>Open_Qty</x:v>
      </x:c>
    </x:row>
    <x:row r="2">
      <x:c r="A2" t="str">
        <x:v>PR100001</x:v>
      </x:c>
      <x:c r="B2" s="36" t="n">
        <x:v>46167</x:v>
      </x:c>
      <x:c r="C2" t="str">
        <x:v>Maintenance</x:v>
      </x:c>
      <x:c r="D2" t="str">
        <x:v>PRJ-004</x:v>
      </x:c>
      <x:c r="E2" t="str">
        <x:v>MAT008</x:v>
      </x:c>
      <x:c r="F2" t="str">
        <x:v>20mm Aggregate</x:v>
      </x:c>
      <x:c r="G2" t="str">
        <x:v>Aggregates</x:v>
      </x:c>
      <x:c r="H2" t="str">
        <x:v>TON</x:v>
      </x:c>
      <x:c r="I2" t="str">
        <x:v>SUP003</x:v>
      </x:c>
      <x:c r="J2" t="str">
        <x:v>BuildRight Aggregates</x:v>
      </x:c>
      <x:c r="K2" t="str">
        <x:v>Telangana</x:v>
      </x:c>
      <x:c r="L2" s="40" t="n">
        <x:v>8</x:v>
      </x:c>
      <x:c r="M2" t="str">
        <x:v>PO200001</x:v>
      </x:c>
      <x:c r="N2" s="36" t="n">
        <x:v>46168</x:v>
      </x:c>
      <x:c r="O2" s="38" t="n">
        <x:v>1302.26</x:v>
      </x:c>
      <x:c r="P2" t="str">
        <x:v>45 Days</x:v>
      </x:c>
      <x:c r="Q2" t="str">
        <x:v>M. Priya</x:v>
      </x:c>
      <x:c r="R2" s="36" t="n">
        <x:v>46174</x:v>
      </x:c>
      <x:c r="S2" s="36" t="n">
        <x:v>46181</x:v>
      </x:c>
      <x:c r="T2" s="40" t="n">
        <x:v>7</x:v>
      </x:c>
      <x:c r="U2" t="str">
        <x:v>INV300001</x:v>
      </x:c>
      <x:c r="V2" s="36" t="n">
        <x:v>46183</x:v>
      </x:c>
      <x:c r="W2" s="40" t="n">
        <x:v>7</x:v>
      </x:c>
      <x:c r="X2" s="38" t="n">
        <x:v>10418.08</x:v>
      </x:c>
      <x:c r="Y2" t="str">
        <x:v>Paid</x:v>
      </x:c>
      <x:c r="Z2" s="38" t="n">
        <x:f>ROUND(L2*O2,2)</x:f>
        <x:v>10418.08</x:v>
      </x:c>
      <x:c r="AA2" t="n">
        <x:f>IF(S2="","",S2-N2)</x:f>
        <x:v>13</x:v>
      </x:c>
      <x:c r="AB2" t="str">
        <x:f>IF(S2="","Open",IF(S2&lt;=R2,"On Time","Late"))</x:f>
        <x:v>Late</x:v>
      </x:c>
      <x:c r="AC2" t="str">
        <x:f>IF(S2="","Open",IF(T2=L2,"Match","Mismatch"))</x:f>
        <x:v>Mismatch</x:v>
      </x:c>
      <x:c r="AD2" t="str">
        <x:f>IF(V2="","Open",IF(ABS(X2-Z2)&lt;=1,"Match","Mismatch"))</x:f>
        <x:v>Match</x:v>
      </x:c>
      <x:c r="AE2" t="str">
        <x:f>IF(OR(AC2="Open",AD2="Open"),"Open",IF(AND(AC2="Match",AD2="Match",W2=T2),"Matched","Exception"))</x:f>
        <x:v>Exception</x:v>
      </x:c>
      <x:c r="AF2" s="40" t="n">
        <x:f>MAX(L2-T2,0)</x:f>
        <x:v>1</x:v>
      </x:c>
    </x:row>
    <x:row r="3">
      <x:c r="A3" t="str">
        <x:v>PR100002</x:v>
      </x:c>
      <x:c r="B3" s="36" t="n">
        <x:v>46243</x:v>
      </x:c>
      <x:c r="C3" t="str">
        <x:v>Civil Projects</x:v>
      </x:c>
      <x:c r="D3" t="str">
        <x:v>PRJ-007</x:v>
      </x:c>
      <x:c r="E3" t="str">
        <x:v>MAT001</x:v>
      </x:c>
      <x:c r="F3" t="str">
        <x:v>OPC Cement 50kg</x:v>
      </x:c>
      <x:c r="G3" t="str">
        <x:v>Cement &amp; Concrete</x:v>
      </x:c>
      <x:c r="H3" t="str">
        <x:v>BAG</x:v>
      </x:c>
      <x:c r="I3" t="str">
        <x:v>SUP001</x:v>
      </x:c>
      <x:c r="J3" t="str">
        <x:v>Deccan Cement Supplies</x:v>
      </x:c>
      <x:c r="K3" t="str">
        <x:v>Telangana</x:v>
      </x:c>
      <x:c r="L3" s="40" t="n">
        <x:v>30</x:v>
      </x:c>
      <x:c r="M3" t="str">
        <x:v>PO200002</x:v>
      </x:c>
      <x:c r="N3" s="36" t="n">
        <x:v>46246</x:v>
      </x:c>
      <x:c r="O3" s="38" t="n">
        <x:v>398.69</x:v>
      </x:c>
      <x:c r="P3" t="str">
        <x:v>30 Days</x:v>
      </x:c>
      <x:c r="Q3" t="str">
        <x:v>M. Priya</x:v>
      </x:c>
      <x:c r="R3" s="36" t="n">
        <x:v>46252</x:v>
      </x:c>
      <x:c r="S3" s="36" t="n">
        <x:v>46254</x:v>
      </x:c>
      <x:c r="T3" s="40" t="n">
        <x:v>30</x:v>
      </x:c>
      <x:c r="U3" t="str">
        <x:v>INV300002</x:v>
      </x:c>
      <x:c r="V3" s="36" t="n">
        <x:v>46257</x:v>
      </x:c>
      <x:c r="W3" s="40" t="n">
        <x:v>30</x:v>
      </x:c>
      <x:c r="X3" s="38" t="n">
        <x:v>11960.7</x:v>
      </x:c>
      <x:c r="Y3" t="str">
        <x:v>Paid</x:v>
      </x:c>
      <x:c r="Z3" s="38" t="n">
        <x:f>ROUND(L3*O3,2)</x:f>
        <x:v>11960.7</x:v>
      </x:c>
      <x:c r="AA3" t="n">
        <x:f>IF(S3="","",S3-N3)</x:f>
        <x:v>8</x:v>
      </x:c>
      <x:c r="AB3" t="str">
        <x:f>IF(S3="","Open",IF(S3&lt;=R3,"On Time","Late"))</x:f>
        <x:v>Late</x:v>
      </x:c>
      <x:c r="AC3" t="str">
        <x:f>IF(S3="","Open",IF(T3=L3,"Match","Mismatch"))</x:f>
        <x:v>Match</x:v>
      </x:c>
      <x:c r="AD3" t="str">
        <x:f>IF(V3="","Open",IF(ABS(X3-Z3)&lt;=1,"Match","Mismatch"))</x:f>
        <x:v>Match</x:v>
      </x:c>
      <x:c r="AE3" t="str">
        <x:f>IF(OR(AC3="Open",AD3="Open"),"Open",IF(AND(AC3="Match",AD3="Match",W3=T3),"Matched","Exception"))</x:f>
        <x:v>Matched</x:v>
      </x:c>
      <x:c r="AF3" s="40" t="n">
        <x:f>MAX(L3-T3,0)</x:f>
        <x:v>0</x:v>
      </x:c>
    </x:row>
    <x:row r="4">
      <x:c r="A4" t="str">
        <x:v>PR100003</x:v>
      </x:c>
      <x:c r="B4" s="36" t="n">
        <x:v>46125</x:v>
      </x:c>
      <x:c r="C4" t="str">
        <x:v>Facilities</x:v>
      </x:c>
      <x:c r="D4" t="str">
        <x:v>PRJ-005</x:v>
      </x:c>
      <x:c r="E4" t="str">
        <x:v>MAT040</x:v>
      </x:c>
      <x:c r="F4" t="str">
        <x:v>SS Fastener Set</x:v>
      </x:c>
      <x:c r="G4" t="str">
        <x:v>Hardware</x:v>
      </x:c>
      <x:c r="H4" t="str">
        <x:v>SET</x:v>
      </x:c>
      <x:c r="I4" t="str">
        <x:v>SUP011</x:v>
      </x:c>
      <x:c r="J4" t="str">
        <x:v>Vertex Industrial Supply</x:v>
      </x:c>
      <x:c r="K4" t="str">
        <x:v>Maharashtra</x:v>
      </x:c>
      <x:c r="L4" s="40" t="n">
        <x:v>30</x:v>
      </x:c>
      <x:c r="M4" t="str">
        <x:v>PO200003</x:v>
      </x:c>
      <x:c r="N4" s="36" t="n">
        <x:v>46126</x:v>
      </x:c>
      <x:c r="O4" s="38" t="n">
        <x:v>132.39</x:v>
      </x:c>
      <x:c r="P4" t="str">
        <x:v>60 Days</x:v>
      </x:c>
      <x:c r="Q4" t="str">
        <x:v>A. Reddy</x:v>
      </x:c>
      <x:c r="R4" s="36" t="n">
        <x:v>46140</x:v>
      </x:c>
      <x:c r="S4" s="36" t="n">
        <x:v>46140</x:v>
      </x:c>
      <x:c r="T4" s="40" t="n">
        <x:v>30</x:v>
      </x:c>
      <x:c r="U4" t="str">
        <x:v>INV300003</x:v>
      </x:c>
      <x:c r="V4" s="36" t="n">
        <x:v>46144</x:v>
      </x:c>
      <x:c r="W4" s="40" t="n">
        <x:v>30</x:v>
      </x:c>
      <x:c r="X4" s="38" t="n">
        <x:v>3971.7</x:v>
      </x:c>
      <x:c r="Y4" t="str">
        <x:v>Paid</x:v>
      </x:c>
      <x:c r="Z4" s="38" t="n">
        <x:f>ROUND(L4*O4,2)</x:f>
        <x:v>3971.7</x:v>
      </x:c>
      <x:c r="AA4" t="n">
        <x:f>IF(S4="","",S4-N4)</x:f>
        <x:v>14</x:v>
      </x:c>
      <x:c r="AB4" t="str">
        <x:f>IF(S4="","Open",IF(S4&lt;=R4,"On Time","Late"))</x:f>
        <x:v>On Time</x:v>
      </x:c>
      <x:c r="AC4" t="str">
        <x:f>IF(S4="","Open",IF(T4=L4,"Match","Mismatch"))</x:f>
        <x:v>Match</x:v>
      </x:c>
      <x:c r="AD4" t="str">
        <x:f>IF(V4="","Open",IF(ABS(X4-Z4)&lt;=1,"Match","Mismatch"))</x:f>
        <x:v>Match</x:v>
      </x:c>
      <x:c r="AE4" t="str">
        <x:f>IF(OR(AC4="Open",AD4="Open"),"Open",IF(AND(AC4="Match",AD4="Match",W4=T4),"Matched","Exception"))</x:f>
        <x:v>Matched</x:v>
      </x:c>
      <x:c r="AF4" s="40" t="n">
        <x:f>MAX(L4-T4,0)</x:f>
        <x:v>0</x:v>
      </x:c>
    </x:row>
    <x:row r="5">
      <x:c r="A5" t="str">
        <x:v>PR100004</x:v>
      </x:c>
      <x:c r="B5" s="36" t="n">
        <x:v>46152</x:v>
      </x:c>
      <x:c r="C5" t="str">
        <x:v>Maintenance</x:v>
      </x:c>
      <x:c r="D5" t="str">
        <x:v>PRJ-005</x:v>
      </x:c>
      <x:c r="E5" t="str">
        <x:v>MAT039</x:v>
      </x:c>
      <x:c r="F5" t="str">
        <x:v>Door Hinge SS</x:v>
      </x:c>
      <x:c r="G5" t="str">
        <x:v>Hardware</x:v>
      </x:c>
      <x:c r="H5" t="str">
        <x:v>PAIR</x:v>
      </x:c>
      <x:c r="I5" t="str">
        <x:v>SUP009</x:v>
      </x:c>
      <x:c r="J5" t="str">
        <x:v>Nava Bharat Hardware</x:v>
      </x:c>
      <x:c r="K5" t="str">
        <x:v>Andhra Pradesh</x:v>
      </x:c>
      <x:c r="L5" s="40" t="n">
        <x:v>40</x:v>
      </x:c>
      <x:c r="M5" t="str">
        <x:v>PO200004</x:v>
      </x:c>
      <x:c r="N5" s="36" t="n">
        <x:v>46154</x:v>
      </x:c>
      <x:c r="O5" s="38" t="n">
        <x:v>417.28</x:v>
      </x:c>
      <x:c r="P5" t="str">
        <x:v>30 Days</x:v>
      </x:c>
      <x:c r="Q5" t="str">
        <x:v>S. Kumar</x:v>
      </x:c>
      <x:c r="R5" s="36" t="n">
        <x:v>46164</x:v>
      </x:c>
      <x:c r="S5" s="36" t="n">
        <x:v>46162</x:v>
      </x:c>
      <x:c r="T5" s="40" t="n">
        <x:v>40</x:v>
      </x:c>
      <x:c r="U5" t="str">
        <x:v>INV300004</x:v>
      </x:c>
      <x:c r="V5" s="36" t="n">
        <x:v>46169</x:v>
      </x:c>
      <x:c r="W5" s="40" t="n">
        <x:v>40</x:v>
      </x:c>
      <x:c r="X5" s="38" t="n">
        <x:v>16691.2</x:v>
      </x:c>
      <x:c r="Y5" t="str">
        <x:v>Pending Approval</x:v>
      </x:c>
      <x:c r="Z5" s="38" t="n">
        <x:f>ROUND(L5*O5,2)</x:f>
        <x:v>16691.2</x:v>
      </x:c>
      <x:c r="AA5" t="n">
        <x:f>IF(S5="","",S5-N5)</x:f>
        <x:v>8</x:v>
      </x:c>
      <x:c r="AB5" t="str">
        <x:f>IF(S5="","Open",IF(S5&lt;=R5,"On Time","Late"))</x:f>
        <x:v>On Time</x:v>
      </x:c>
      <x:c r="AC5" t="str">
        <x:f>IF(S5="","Open",IF(T5=L5,"Match","Mismatch"))</x:f>
        <x:v>Match</x:v>
      </x:c>
      <x:c r="AD5" t="str">
        <x:f>IF(V5="","Open",IF(ABS(X5-Z5)&lt;=1,"Match","Mismatch"))</x:f>
        <x:v>Match</x:v>
      </x:c>
      <x:c r="AE5" t="str">
        <x:f>IF(OR(AC5="Open",AD5="Open"),"Open",IF(AND(AC5="Match",AD5="Match",W5=T5),"Matched","Exception"))</x:f>
        <x:v>Matched</x:v>
      </x:c>
      <x:c r="AF5" s="40" t="n">
        <x:f>MAX(L5-T5,0)</x:f>
        <x:v>0</x:v>
      </x:c>
    </x:row>
    <x:row r="6">
      <x:c r="A6" t="str">
        <x:v>PR100005</x:v>
      </x:c>
      <x:c r="B6" s="36" t="n">
        <x:v>46135</x:v>
      </x:c>
      <x:c r="C6" t="str">
        <x:v>Facilities</x:v>
      </x:c>
      <x:c r="D6" t="str">
        <x:v>PRJ-008</x:v>
      </x:c>
      <x:c r="E6" t="str">
        <x:v>MAT037</x:v>
      </x:c>
      <x:c r="F6" t="str">
        <x:v>Anchor Bolt M16</x:v>
      </x:c>
      <x:c r="G6" t="str">
        <x:v>Hardware</x:v>
      </x:c>
      <x:c r="H6" t="str">
        <x:v>EA</x:v>
      </x:c>
      <x:c r="I6" t="str">
        <x:v>SUP011</x:v>
      </x:c>
      <x:c r="J6" t="str">
        <x:v>Vertex Industrial Supply</x:v>
      </x:c>
      <x:c r="K6" t="str">
        <x:v>Maharashtra</x:v>
      </x:c>
      <x:c r="L6" s="40" t="n">
        <x:v>100</x:v>
      </x:c>
      <x:c r="M6" t="str">
        <x:v>PO200005</x:v>
      </x:c>
      <x:c r="N6" s="36" t="n">
        <x:v>46140</x:v>
      </x:c>
      <x:c r="O6" s="38" t="n">
        <x:v>89.84</x:v>
      </x:c>
      <x:c r="P6" t="str">
        <x:v>30 Days</x:v>
      </x:c>
      <x:c r="Q6" t="str">
        <x:v>A. Reddy</x:v>
      </x:c>
      <x:c r="R6" s="36" t="n">
        <x:v>46158</x:v>
      </x:c>
      <x:c r="S6" s="36" t="n">
        <x:v>46156</x:v>
      </x:c>
      <x:c r="T6" s="40" t="n">
        <x:v>100</x:v>
      </x:c>
      <x:c r="U6" t="str">
        <x:v>INV300005</x:v>
      </x:c>
      <x:c r="V6" s="36" t="n">
        <x:v>46160</x:v>
      </x:c>
      <x:c r="W6" s="40" t="n">
        <x:v>100</x:v>
      </x:c>
      <x:c r="X6" s="38" t="n">
        <x:v>8984</x:v>
      </x:c>
      <x:c r="Y6" t="str">
        <x:v>Paid</x:v>
      </x:c>
      <x:c r="Z6" s="38" t="n">
        <x:f>ROUND(L6*O6,2)</x:f>
        <x:v>8984</x:v>
      </x:c>
      <x:c r="AA6" t="n">
        <x:f>IF(S6="","",S6-N6)</x:f>
        <x:v>16</x:v>
      </x:c>
      <x:c r="AB6" t="str">
        <x:f>IF(S6="","Open",IF(S6&lt;=R6,"On Time","Late"))</x:f>
        <x:v>On Time</x:v>
      </x:c>
      <x:c r="AC6" t="str">
        <x:f>IF(S6="","Open",IF(T6=L6,"Match","Mismatch"))</x:f>
        <x:v>Match</x:v>
      </x:c>
      <x:c r="AD6" t="str">
        <x:f>IF(V6="","Open",IF(ABS(X6-Z6)&lt;=1,"Match","Mismatch"))</x:f>
        <x:v>Match</x:v>
      </x:c>
      <x:c r="AE6" t="str">
        <x:f>IF(OR(AC6="Open",AD6="Open"),"Open",IF(AND(AC6="Match",AD6="Match",W6=T6),"Matched","Exception"))</x:f>
        <x:v>Matched</x:v>
      </x:c>
      <x:c r="AF6" s="40" t="n">
        <x:f>MAX(L6-T6,0)</x:f>
        <x:v>0</x:v>
      </x:c>
    </x:row>
    <x:row r="7">
      <x:c r="A7" t="str">
        <x:v>PR100006</x:v>
      </x:c>
      <x:c r="B7" s="36" t="n">
        <x:v>46108</x:v>
      </x:c>
      <x:c r="C7" t="str">
        <x:v>Operations</x:v>
      </x:c>
      <x:c r="D7" t="str">
        <x:v>PRJ-002</x:v>
      </x:c>
      <x:c r="E7" t="str">
        <x:v>MAT008</x:v>
      </x:c>
      <x:c r="F7" t="str">
        <x:v>20mm Aggregate</x:v>
      </x:c>
      <x:c r="G7" t="str">
        <x:v>Aggregates</x:v>
      </x:c>
      <x:c r="H7" t="str">
        <x:v>TON</x:v>
      </x:c>
      <x:c r="I7" t="str">
        <x:v>SUP003</x:v>
      </x:c>
      <x:c r="J7" t="str">
        <x:v>BuildRight Aggregates</x:v>
      </x:c>
      <x:c r="K7" t="str">
        <x:v>Telangana</x:v>
      </x:c>
      <x:c r="L7" s="40" t="n">
        <x:v>25</x:v>
      </x:c>
      <x:c r="M7" t="str">
        <x:v>PO200006</x:v>
      </x:c>
      <x:c r="N7" s="36" t="n">
        <x:v>46113</x:v>
      </x:c>
      <x:c r="O7" s="38" t="n">
        <x:v>1235.86</x:v>
      </x:c>
      <x:c r="P7" t="str">
        <x:v>45 Days</x:v>
      </x:c>
      <x:c r="Q7" t="str">
        <x:v>R. Sharma</x:v>
      </x:c>
      <x:c r="R7" s="36" t="n">
        <x:v>46118</x:v>
      </x:c>
      <x:c r="S7" s="36" t="n">
        <x:v>46118</x:v>
      </x:c>
      <x:c r="T7" s="40" t="n">
        <x:v>25</x:v>
      </x:c>
      <x:c r="U7" t="str">
        <x:v>INV300006</x:v>
      </x:c>
      <x:c r="V7" s="36" t="n">
        <x:v>46119</x:v>
      </x:c>
      <x:c r="W7" s="40" t="n">
        <x:v>25</x:v>
      </x:c>
      <x:c r="X7" s="38" t="n">
        <x:v>30896.5</x:v>
      </x:c>
      <x:c r="Y7" t="str">
        <x:v>Paid</x:v>
      </x:c>
      <x:c r="Z7" s="38" t="n">
        <x:f>ROUND(L7*O7,2)</x:f>
        <x:v>30896.5</x:v>
      </x:c>
      <x:c r="AA7" t="n">
        <x:f>IF(S7="","",S7-N7)</x:f>
        <x:v>5</x:v>
      </x:c>
      <x:c r="AB7" t="str">
        <x:f>IF(S7="","Open",IF(S7&lt;=R7,"On Time","Late"))</x:f>
        <x:v>On Time</x:v>
      </x:c>
      <x:c r="AC7" t="str">
        <x:f>IF(S7="","Open",IF(T7=L7,"Match","Mismatch"))</x:f>
        <x:v>Match</x:v>
      </x:c>
      <x:c r="AD7" t="str">
        <x:f>IF(V7="","Open",IF(ABS(X7-Z7)&lt;=1,"Match","Mismatch"))</x:f>
        <x:v>Match</x:v>
      </x:c>
      <x:c r="AE7" t="str">
        <x:f>IF(OR(AC7="Open",AD7="Open"),"Open",IF(AND(AC7="Match",AD7="Match",W7=T7),"Matched","Exception"))</x:f>
        <x:v>Matched</x:v>
      </x:c>
      <x:c r="AF7" s="40" t="n">
        <x:f>MAX(L7-T7,0)</x:f>
        <x:v>0</x:v>
      </x:c>
    </x:row>
    <x:row r="8">
      <x:c r="A8" t="str">
        <x:v>PR100007</x:v>
      </x:c>
      <x:c r="B8" s="36" t="n">
        <x:v>46028</x:v>
      </x:c>
      <x:c r="C8" t="str">
        <x:v>Civil Projects</x:v>
      </x:c>
      <x:c r="D8" t="str">
        <x:v>PRJ-006</x:v>
      </x:c>
      <x:c r="E8" t="str">
        <x:v>MAT011</x:v>
      </x:c>
      <x:c r="F8" t="str">
        <x:v>Red Clay Brick</x:v>
      </x:c>
      <x:c r="G8" t="str">
        <x:v>Masonry</x:v>
      </x:c>
      <x:c r="H8" t="str">
        <x:v>EA</x:v>
      </x:c>
      <x:c r="I8" t="str">
        <x:v>SUP012</x:v>
      </x:c>
      <x:c r="J8" t="str">
        <x:v>GreenField Construction Supply</x:v>
      </x:c>
      <x:c r="K8" t="str">
        <x:v>Telangana</x:v>
      </x:c>
      <x:c r="L8" s="40" t="n">
        <x:v>25</x:v>
      </x:c>
      <x:c r="M8" t="str">
        <x:v>PO200007</x:v>
      </x:c>
      <x:c r="N8" s="36" t="n">
        <x:v>46032</x:v>
      </x:c>
      <x:c r="O8" s="38" t="n">
        <x:v>11.13</x:v>
      </x:c>
      <x:c r="P8" t="str">
        <x:v>45 Days</x:v>
      </x:c>
      <x:c r="Q8" t="str">
        <x:v>A. Reddy</x:v>
      </x:c>
      <x:c r="R8" s="36" t="n">
        <x:v>46048</x:v>
      </x:c>
      <x:c r="S8" s="36" t="n">
        <x:v>46047</x:v>
      </x:c>
      <x:c r="T8" s="40" t="n">
        <x:v>25</x:v>
      </x:c>
      <x:c r="U8" t="str">
        <x:v>INV300007</x:v>
      </x:c>
      <x:c r="V8" s="36" t="n">
        <x:v>46054</x:v>
      </x:c>
      <x:c r="W8" s="40" t="n">
        <x:v>25</x:v>
      </x:c>
      <x:c r="X8" s="38" t="n">
        <x:v>278.25</x:v>
      </x:c>
      <x:c r="Y8" t="str">
        <x:v>Blocked for Review</x:v>
      </x:c>
      <x:c r="Z8" s="38" t="n">
        <x:f>ROUND(L8*O8,2)</x:f>
        <x:v>278.25</x:v>
      </x:c>
      <x:c r="AA8" t="n">
        <x:f>IF(S8="","",S8-N8)</x:f>
        <x:v>15</x:v>
      </x:c>
      <x:c r="AB8" t="str">
        <x:f>IF(S8="","Open",IF(S8&lt;=R8,"On Time","Late"))</x:f>
        <x:v>On Time</x:v>
      </x:c>
      <x:c r="AC8" t="str">
        <x:f>IF(S8="","Open",IF(T8=L8,"Match","Mismatch"))</x:f>
        <x:v>Match</x:v>
      </x:c>
      <x:c r="AD8" t="str">
        <x:f>IF(V8="","Open",IF(ABS(X8-Z8)&lt;=1,"Match","Mismatch"))</x:f>
        <x:v>Match</x:v>
      </x:c>
      <x:c r="AE8" t="str">
        <x:f>IF(OR(AC8="Open",AD8="Open"),"Open",IF(AND(AC8="Match",AD8="Match",W8=T8),"Matched","Exception"))</x:f>
        <x:v>Matched</x:v>
      </x:c>
      <x:c r="AF8" s="40" t="n">
        <x:f>MAX(L8-T8,0)</x:f>
        <x:v>0</x:v>
      </x:c>
    </x:row>
    <x:row r="9">
      <x:c r="A9" t="str">
        <x:v>PR100008</x:v>
      </x:c>
      <x:c r="B9" s="36" t="n">
        <x:v>46184</x:v>
      </x:c>
      <x:c r="C9" t="str">
        <x:v>Maintenance</x:v>
      </x:c>
      <x:c r="D9" t="str">
        <x:v>PRJ-004</x:v>
      </x:c>
      <x:c r="E9" t="str">
        <x:v>MAT008</x:v>
      </x:c>
      <x:c r="F9" t="str">
        <x:v>20mm Aggregate</x:v>
      </x:c>
      <x:c r="G9" t="str">
        <x:v>Aggregates</x:v>
      </x:c>
      <x:c r="H9" t="str">
        <x:v>TON</x:v>
      </x:c>
      <x:c r="I9" t="str">
        <x:v>SUP012</x:v>
      </x:c>
      <x:c r="J9" t="str">
        <x:v>GreenField Construction Supply</x:v>
      </x:c>
      <x:c r="K9" t="str">
        <x:v>Telangana</x:v>
      </x:c>
      <x:c r="L9" s="40" t="n">
        <x:v>8</x:v>
      </x:c>
      <x:c r="M9" t="str">
        <x:v>PO200008</x:v>
      </x:c>
      <x:c r="N9" s="36" t="n">
        <x:v>46185</x:v>
      </x:c>
      <x:c r="O9" s="38" t="n">
        <x:v>1169.27</x:v>
      </x:c>
      <x:c r="P9" t="str">
        <x:v>60 Days</x:v>
      </x:c>
      <x:c r="Q9" t="str">
        <x:v>S. Kumar</x:v>
      </x:c>
      <x:c r="R9" s="36" t="n">
        <x:v>46192</x:v>
      </x:c>
      <x:c r="S9" s="36" t="n">
        <x:v>46201</x:v>
      </x:c>
      <x:c r="T9" s="40" t="n">
        <x:v>8</x:v>
      </x:c>
      <x:c r="U9" t="str">
        <x:v>INV300008</x:v>
      </x:c>
      <x:c r="V9" s="36" t="n">
        <x:v>46203</x:v>
      </x:c>
      <x:c r="W9" s="40" t="n">
        <x:v>8</x:v>
      </x:c>
      <x:c r="X9" s="38" t="n">
        <x:v>9354.16</x:v>
      </x:c>
      <x:c r="Y9" t="str">
        <x:v>Paid</x:v>
      </x:c>
      <x:c r="Z9" s="38" t="n">
        <x:f>ROUND(L9*O9,2)</x:f>
        <x:v>9354.16</x:v>
      </x:c>
      <x:c r="AA9" t="n">
        <x:f>IF(S9="","",S9-N9)</x:f>
        <x:v>16</x:v>
      </x:c>
      <x:c r="AB9" t="str">
        <x:f>IF(S9="","Open",IF(S9&lt;=R9,"On Time","Late"))</x:f>
        <x:v>Late</x:v>
      </x:c>
      <x:c r="AC9" t="str">
        <x:f>IF(S9="","Open",IF(T9=L9,"Match","Mismatch"))</x:f>
        <x:v>Match</x:v>
      </x:c>
      <x:c r="AD9" t="str">
        <x:f>IF(V9="","Open",IF(ABS(X9-Z9)&lt;=1,"Match","Mismatch"))</x:f>
        <x:v>Match</x:v>
      </x:c>
      <x:c r="AE9" t="str">
        <x:f>IF(OR(AC9="Open",AD9="Open"),"Open",IF(AND(AC9="Match",AD9="Match",W9=T9),"Matched","Exception"))</x:f>
        <x:v>Matched</x:v>
      </x:c>
      <x:c r="AF9" s="40" t="n">
        <x:f>MAX(L9-T9,0)</x:f>
        <x:v>0</x:v>
      </x:c>
    </x:row>
    <x:row r="10">
      <x:c r="A10" t="str">
        <x:v>PR100009</x:v>
      </x:c>
      <x:c r="B10" s="36" t="n">
        <x:v>46218</x:v>
      </x:c>
      <x:c r="C10" t="str">
        <x:v>Civil Projects</x:v>
      </x:c>
      <x:c r="D10" t="str">
        <x:v>PRJ-004</x:v>
      </x:c>
      <x:c r="E10" t="str">
        <x:v>MAT020</x:v>
      </x:c>
      <x:c r="F10" t="str">
        <x:v>Safety Shoes</x:v>
      </x:c>
      <x:c r="G10" t="str">
        <x:v>Safety</x:v>
      </x:c>
      <x:c r="H10" t="str">
        <x:v>PAIR</x:v>
      </x:c>
      <x:c r="I10" t="str">
        <x:v>SUP007</x:v>
      </x:c>
      <x:c r="J10" t="str">
        <x:v>Precision Tools India</x:v>
      </x:c>
      <x:c r="K10" t="str">
        <x:v>Telangana</x:v>
      </x:c>
      <x:c r="L10" s="40" t="n">
        <x:v>20</x:v>
      </x:c>
      <x:c r="M10" t="str">
        <x:v>PO200009</x:v>
      </x:c>
      <x:c r="N10" s="36" t="n">
        <x:v>46224</x:v>
      </x:c>
      <x:c r="O10" s="38" t="n">
        <x:v>1398.7</x:v>
      </x:c>
      <x:c r="P10" t="str">
        <x:v>60 Days</x:v>
      </x:c>
      <x:c r="Q10" t="str">
        <x:v>S. Kumar</x:v>
      </x:c>
      <x:c r="R10" s="36" t="n">
        <x:v>46235</x:v>
      </x:c>
      <x:c r="S10" s="36"/>
      <x:c r="T10" s="40" t="n">
        <x:v>0</x:v>
      </x:c>
      <x:c r="U10" t="str"/>
      <x:c r="V10" s="36"/>
      <x:c r="W10" s="40" t="n">
        <x:v>0</x:v>
      </x:c>
      <x:c r="X10" s="38" t="str"/>
      <x:c r="Y10" t="str">
        <x:v>Open PO</x:v>
      </x:c>
      <x:c r="Z10" s="38" t="n">
        <x:f>ROUND(L10*O10,2)</x:f>
        <x:v>27974</x:v>
      </x:c>
      <x:c r="AA10" t="str">
        <x:f>IF(S10="","",S10-N10)</x:f>
      </x:c>
      <x:c r="AB10" t="str">
        <x:f>IF(S10="","Open",IF(S10&lt;=R10,"On Time","Late"))</x:f>
        <x:v>Open</x:v>
      </x:c>
      <x:c r="AC10" t="str">
        <x:f>IF(S10="","Open",IF(T10=L10,"Match","Mismatch"))</x:f>
        <x:v>Open</x:v>
      </x:c>
      <x:c r="AD10" t="str">
        <x:f>IF(V10="","Open",IF(ABS(X10-Z10)&lt;=1,"Match","Mismatch"))</x:f>
        <x:v>Open</x:v>
      </x:c>
      <x:c r="AE10" t="str">
        <x:f>IF(OR(AC10="Open",AD10="Open"),"Open",IF(AND(AC10="Match",AD10="Match",W10=T10),"Matched","Exception"))</x:f>
        <x:v>Open</x:v>
      </x:c>
      <x:c r="AF10" s="40" t="n">
        <x:f>MAX(L10-T10,0)</x:f>
        <x:v>20</x:v>
      </x:c>
    </x:row>
    <x:row r="11">
      <x:c r="A11" t="str">
        <x:v>PR100010</x:v>
      </x:c>
      <x:c r="B11" s="36" t="n">
        <x:v>46057</x:v>
      </x:c>
      <x:c r="C11" t="str">
        <x:v>Facilities</x:v>
      </x:c>
      <x:c r="D11" t="str">
        <x:v>PRJ-005</x:v>
      </x:c>
      <x:c r="E11" t="str">
        <x:v>MAT001</x:v>
      </x:c>
      <x:c r="F11" t="str">
        <x:v>OPC Cement 50kg</x:v>
      </x:c>
      <x:c r="G11" t="str">
        <x:v>Cement &amp; Concrete</x:v>
      </x:c>
      <x:c r="H11" t="str">
        <x:v>BAG</x:v>
      </x:c>
      <x:c r="I11" t="str">
        <x:v>SUP001</x:v>
      </x:c>
      <x:c r="J11" t="str">
        <x:v>Deccan Cement Supplies</x:v>
      </x:c>
      <x:c r="K11" t="str">
        <x:v>Telangana</x:v>
      </x:c>
      <x:c r="L11" s="40" t="n">
        <x:v>10</x:v>
      </x:c>
      <x:c r="M11" t="str">
        <x:v>PO200010</x:v>
      </x:c>
      <x:c r="N11" s="36" t="n">
        <x:v>46058</x:v>
      </x:c>
      <x:c r="O11" s="38" t="n">
        <x:v>392.28</x:v>
      </x:c>
      <x:c r="P11" t="str">
        <x:v>60 Days</x:v>
      </x:c>
      <x:c r="Q11" t="str">
        <x:v>R. Sharma</x:v>
      </x:c>
      <x:c r="R11" s="36" t="n">
        <x:v>46076</x:v>
      </x:c>
      <x:c r="S11" s="36"/>
      <x:c r="T11" s="40" t="n">
        <x:v>0</x:v>
      </x:c>
      <x:c r="U11" t="str"/>
      <x:c r="V11" s="36"/>
      <x:c r="W11" s="40" t="n">
        <x:v>0</x:v>
      </x:c>
      <x:c r="X11" s="38" t="str"/>
      <x:c r="Y11" t="str">
        <x:v>Open PO</x:v>
      </x:c>
      <x:c r="Z11" s="38" t="n">
        <x:f>ROUND(L11*O11,2)</x:f>
        <x:v>3922.8</x:v>
      </x:c>
      <x:c r="AA11" t="str">
        <x:f>IF(S11="","",S11-N11)</x:f>
      </x:c>
      <x:c r="AB11" t="str">
        <x:f>IF(S11="","Open",IF(S11&lt;=R11,"On Time","Late"))</x:f>
        <x:v>Open</x:v>
      </x:c>
      <x:c r="AC11" t="str">
        <x:f>IF(S11="","Open",IF(T11=L11,"Match","Mismatch"))</x:f>
        <x:v>Open</x:v>
      </x:c>
      <x:c r="AD11" t="str">
        <x:f>IF(V11="","Open",IF(ABS(X11-Z11)&lt;=1,"Match","Mismatch"))</x:f>
        <x:v>Open</x:v>
      </x:c>
      <x:c r="AE11" t="str">
        <x:f>IF(OR(AC11="Open",AD11="Open"),"Open",IF(AND(AC11="Match",AD11="Match",W11=T11),"Matched","Exception"))</x:f>
        <x:v>Open</x:v>
      </x:c>
      <x:c r="AF11" s="40" t="n">
        <x:f>MAX(L11-T11,0)</x:f>
        <x:v>10</x:v>
      </x:c>
    </x:row>
    <x:row r="12">
      <x:c r="A12" t="str">
        <x:v>PR100011</x:v>
      </x:c>
      <x:c r="B12" s="36" t="n">
        <x:v>46269</x:v>
      </x:c>
      <x:c r="C12" t="str">
        <x:v>Civil Projects</x:v>
      </x:c>
      <x:c r="D12" t="str">
        <x:v>PRJ-001</x:v>
      </x:c>
      <x:c r="E12" t="str">
        <x:v>MAT014</x:v>
      </x:c>
      <x:c r="F12" t="str">
        <x:v>GI Pipe 50mm</x:v>
      </x:c>
      <x:c r="G12" t="str">
        <x:v>Plumbing</x:v>
      </x:c>
      <x:c r="H12" t="str">
        <x:v>M</x:v>
      </x:c>
      <x:c r="I12" t="str">
        <x:v>SUP005</x:v>
      </x:c>
      <x:c r="J12" t="str">
        <x:v>AquaFlow Pipes &amp; Fittings</x:v>
      </x:c>
      <x:c r="K12" t="str">
        <x:v>Telangana</x:v>
      </x:c>
      <x:c r="L12" s="40" t="n">
        <x:v>750</x:v>
      </x:c>
      <x:c r="M12" t="str">
        <x:v>PO200011</x:v>
      </x:c>
      <x:c r="N12" s="36" t="n">
        <x:v>46271</x:v>
      </x:c>
      <x:c r="O12" s="38" t="n">
        <x:v>515.31</x:v>
      </x:c>
      <x:c r="P12" t="str">
        <x:v>45 Days</x:v>
      </x:c>
      <x:c r="Q12" t="str">
        <x:v>M. Priya</x:v>
      </x:c>
      <x:c r="R12" s="36" t="n">
        <x:v>46287</x:v>
      </x:c>
      <x:c r="S12" s="36" t="n">
        <x:v>46284</x:v>
      </x:c>
      <x:c r="T12" s="40" t="n">
        <x:v>750</x:v>
      </x:c>
      <x:c r="U12" t="str">
        <x:v>INV300011</x:v>
      </x:c>
      <x:c r="V12" s="36" t="n">
        <x:v>46291</x:v>
      </x:c>
      <x:c r="W12" s="40" t="n">
        <x:v>750</x:v>
      </x:c>
      <x:c r="X12" s="38" t="n">
        <x:v>386482.5</x:v>
      </x:c>
      <x:c r="Y12" t="str">
        <x:v>Blocked for Review</x:v>
      </x:c>
      <x:c r="Z12" s="38" t="n">
        <x:f>ROUND(L12*O12,2)</x:f>
        <x:v>386482.5</x:v>
      </x:c>
      <x:c r="AA12" t="n">
        <x:f>IF(S12="","",S12-N12)</x:f>
        <x:v>13</x:v>
      </x:c>
      <x:c r="AB12" t="str">
        <x:f>IF(S12="","Open",IF(S12&lt;=R12,"On Time","Late"))</x:f>
        <x:v>On Time</x:v>
      </x:c>
      <x:c r="AC12" t="str">
        <x:f>IF(S12="","Open",IF(T12=L12,"Match","Mismatch"))</x:f>
        <x:v>Match</x:v>
      </x:c>
      <x:c r="AD12" t="str">
        <x:f>IF(V12="","Open",IF(ABS(X12-Z12)&lt;=1,"Match","Mismatch"))</x:f>
        <x:v>Match</x:v>
      </x:c>
      <x:c r="AE12" t="str">
        <x:f>IF(OR(AC12="Open",AD12="Open"),"Open",IF(AND(AC12="Match",AD12="Match",W12=T12),"Matched","Exception"))</x:f>
        <x:v>Matched</x:v>
      </x:c>
      <x:c r="AF12" s="40" t="n">
        <x:f>MAX(L12-T12,0)</x:f>
        <x:v>0</x:v>
      </x:c>
    </x:row>
    <x:row r="13">
      <x:c r="A13" t="str">
        <x:v>PR100012</x:v>
      </x:c>
      <x:c r="B13" s="36" t="n">
        <x:v>46125</x:v>
      </x:c>
      <x:c r="C13" t="str">
        <x:v>Civil Projects</x:v>
      </x:c>
      <x:c r="D13" t="str">
        <x:v>PRJ-002</x:v>
      </x:c>
      <x:c r="E13" t="str">
        <x:v>MAT007</x:v>
      </x:c>
      <x:c r="F13" t="str">
        <x:v>River Sand</x:v>
      </x:c>
      <x:c r="G13" t="str">
        <x:v>Aggregates</x:v>
      </x:c>
      <x:c r="H13" t="str">
        <x:v>TON</x:v>
      </x:c>
      <x:c r="I13" t="str">
        <x:v>SUP003</x:v>
      </x:c>
      <x:c r="J13" t="str">
        <x:v>BuildRight Aggregates</x:v>
      </x:c>
      <x:c r="K13" t="str">
        <x:v>Telangana</x:v>
      </x:c>
      <x:c r="L13" s="40" t="n">
        <x:v>10</x:v>
      </x:c>
      <x:c r="M13" t="str">
        <x:v>PO200012</x:v>
      </x:c>
      <x:c r="N13" s="36" t="n">
        <x:v>46128</x:v>
      </x:c>
      <x:c r="O13" s="38" t="n">
        <x:v>1444.11</x:v>
      </x:c>
      <x:c r="P13" t="str">
        <x:v>30 Days</x:v>
      </x:c>
      <x:c r="Q13" t="str">
        <x:v>S. Kumar</x:v>
      </x:c>
      <x:c r="R13" s="36" t="n">
        <x:v>46139</x:v>
      </x:c>
      <x:c r="S13" s="36" t="n">
        <x:v>46139</x:v>
      </x:c>
      <x:c r="T13" s="40" t="n">
        <x:v>10</x:v>
      </x:c>
      <x:c r="U13" t="str">
        <x:v>INV300012</x:v>
      </x:c>
      <x:c r="V13" s="36" t="n">
        <x:v>46146</x:v>
      </x:c>
      <x:c r="W13" s="40" t="n">
        <x:v>10</x:v>
      </x:c>
      <x:c r="X13" s="38" t="n">
        <x:v>14441.1</x:v>
      </x:c>
      <x:c r="Y13" t="str">
        <x:v>Paid</x:v>
      </x:c>
      <x:c r="Z13" s="38" t="n">
        <x:f>ROUND(L13*O13,2)</x:f>
        <x:v>14441.1</x:v>
      </x:c>
      <x:c r="AA13" t="n">
        <x:f>IF(S13="","",S13-N13)</x:f>
        <x:v>11</x:v>
      </x:c>
      <x:c r="AB13" t="str">
        <x:f>IF(S13="","Open",IF(S13&lt;=R13,"On Time","Late"))</x:f>
        <x:v>On Time</x:v>
      </x:c>
      <x:c r="AC13" t="str">
        <x:f>IF(S13="","Open",IF(T13=L13,"Match","Mismatch"))</x:f>
        <x:v>Match</x:v>
      </x:c>
      <x:c r="AD13" t="str">
        <x:f>IF(V13="","Open",IF(ABS(X13-Z13)&lt;=1,"Match","Mismatch"))</x:f>
        <x:v>Match</x:v>
      </x:c>
      <x:c r="AE13" t="str">
        <x:f>IF(OR(AC13="Open",AD13="Open"),"Open",IF(AND(AC13="Match",AD13="Match",W13=T13),"Matched","Exception"))</x:f>
        <x:v>Matched</x:v>
      </x:c>
      <x:c r="AF13" s="40" t="n">
        <x:f>MAX(L13-T13,0)</x:f>
        <x:v>0</x:v>
      </x:c>
    </x:row>
    <x:row r="14">
      <x:c r="A14" t="str">
        <x:v>PR100013</x:v>
      </x:c>
      <x:c r="B14" s="36" t="n">
        <x:v>46273</x:v>
      </x:c>
      <x:c r="C14" t="str">
        <x:v>Maintenance</x:v>
      </x:c>
      <x:c r="D14" t="str">
        <x:v>PRJ-005</x:v>
      </x:c>
      <x:c r="E14" t="str">
        <x:v>MAT027</x:v>
      </x:c>
      <x:c r="F14" t="str">
        <x:v>Wall Putty 20kg</x:v>
      </x:c>
      <x:c r="G14" t="str">
        <x:v>Finishes</x:v>
      </x:c>
      <x:c r="H14" t="str">
        <x:v>BAG</x:v>
      </x:c>
      <x:c r="I14" t="str">
        <x:v>SUP011</x:v>
      </x:c>
      <x:c r="J14" t="str">
        <x:v>Vertex Industrial Supply</x:v>
      </x:c>
      <x:c r="K14" t="str">
        <x:v>Maharashtra</x:v>
      </x:c>
      <x:c r="L14" s="40" t="n">
        <x:v>10</x:v>
      </x:c>
      <x:c r="M14" t="str">
        <x:v>PO200013</x:v>
      </x:c>
      <x:c r="N14" s="36" t="n">
        <x:v>46275</x:v>
      </x:c>
      <x:c r="O14" s="38" t="n">
        <x:v>740.72</x:v>
      </x:c>
      <x:c r="P14" t="str">
        <x:v>45 Days</x:v>
      </x:c>
      <x:c r="Q14" t="str">
        <x:v>M. Priya</x:v>
      </x:c>
      <x:c r="R14" s="36" t="n">
        <x:v>46293</x:v>
      </x:c>
      <x:c r="S14" s="36"/>
      <x:c r="T14" s="40" t="n">
        <x:v>0</x:v>
      </x:c>
      <x:c r="U14" t="str"/>
      <x:c r="V14" s="36"/>
      <x:c r="W14" s="40" t="n">
        <x:v>0</x:v>
      </x:c>
      <x:c r="X14" s="38" t="str"/>
      <x:c r="Y14" t="str">
        <x:v>Open PO</x:v>
      </x:c>
      <x:c r="Z14" s="38" t="n">
        <x:f>ROUND(L14*O14,2)</x:f>
        <x:v>7407.2</x:v>
      </x:c>
      <x:c r="AA14" t="str">
        <x:f>IF(S14="","",S14-N14)</x:f>
      </x:c>
      <x:c r="AB14" t="str">
        <x:f>IF(S14="","Open",IF(S14&lt;=R14,"On Time","Late"))</x:f>
        <x:v>Open</x:v>
      </x:c>
      <x:c r="AC14" t="str">
        <x:f>IF(S14="","Open",IF(T14=L14,"Match","Mismatch"))</x:f>
        <x:v>Open</x:v>
      </x:c>
      <x:c r="AD14" t="str">
        <x:f>IF(V14="","Open",IF(ABS(X14-Z14)&lt;=1,"Match","Mismatch"))</x:f>
        <x:v>Open</x:v>
      </x:c>
      <x:c r="AE14" t="str">
        <x:f>IF(OR(AC14="Open",AD14="Open"),"Open",IF(AND(AC14="Match",AD14="Match",W14=T14),"Matched","Exception"))</x:f>
        <x:v>Open</x:v>
      </x:c>
      <x:c r="AF14" s="40" t="n">
        <x:f>MAX(L14-T14,0)</x:f>
        <x:v>10</x:v>
      </x:c>
    </x:row>
    <x:row r="15">
      <x:c r="A15" t="str">
        <x:v>PR100014</x:v>
      </x:c>
      <x:c r="B15" s="36" t="n">
        <x:v>46106</x:v>
      </x:c>
      <x:c r="C15" t="str">
        <x:v>Civil Projects</x:v>
      </x:c>
      <x:c r="D15" t="str">
        <x:v>PRJ-003</x:v>
      </x:c>
      <x:c r="E15" t="str">
        <x:v>MAT028</x:v>
      </x:c>
      <x:c r="F15" t="str">
        <x:v>Exterior Paint 20L</x:v>
      </x:c>
      <x:c r="G15" t="str">
        <x:v>Finishes</x:v>
      </x:c>
      <x:c r="H15" t="str">
        <x:v>CAN</x:v>
      </x:c>
      <x:c r="I15" t="str">
        <x:v>SUP011</x:v>
      </x:c>
      <x:c r="J15" t="str">
        <x:v>Vertex Industrial Supply</x:v>
      </x:c>
      <x:c r="K15" t="str">
        <x:v>Maharashtra</x:v>
      </x:c>
      <x:c r="L15" s="40" t="n">
        <x:v>10</x:v>
      </x:c>
      <x:c r="M15" t="str">
        <x:v>PO200014</x:v>
      </x:c>
      <x:c r="N15" s="36" t="n">
        <x:v>46108</x:v>
      </x:c>
      <x:c r="O15" s="38" t="n">
        <x:v>4045.8</x:v>
      </x:c>
      <x:c r="P15" t="str">
        <x:v>30 Days</x:v>
      </x:c>
      <x:c r="Q15" t="str">
        <x:v>A. Reddy</x:v>
      </x:c>
      <x:c r="R15" s="36" t="n">
        <x:v>46115</x:v>
      </x:c>
      <x:c r="S15" s="36" t="n">
        <x:v>46115</x:v>
      </x:c>
      <x:c r="T15" s="40" t="n">
        <x:v>1</x:v>
      </x:c>
      <x:c r="U15" t="str">
        <x:v>INV300014</x:v>
      </x:c>
      <x:c r="V15" s="36" t="n">
        <x:v>46120</x:v>
      </x:c>
      <x:c r="W15" s="40" t="n">
        <x:v>1</x:v>
      </x:c>
      <x:c r="X15" s="38" t="n">
        <x:v>40458</x:v>
      </x:c>
      <x:c r="Y15" t="str">
        <x:v>Paid</x:v>
      </x:c>
      <x:c r="Z15" s="38" t="n">
        <x:f>ROUND(L15*O15,2)</x:f>
        <x:v>40458</x:v>
      </x:c>
      <x:c r="AA15" t="n">
        <x:f>IF(S15="","",S15-N15)</x:f>
        <x:v>7</x:v>
      </x:c>
      <x:c r="AB15" t="str">
        <x:f>IF(S15="","Open",IF(S15&lt;=R15,"On Time","Late"))</x:f>
        <x:v>On Time</x:v>
      </x:c>
      <x:c r="AC15" t="str">
        <x:f>IF(S15="","Open",IF(T15=L15,"Match","Mismatch"))</x:f>
        <x:v>Mismatch</x:v>
      </x:c>
      <x:c r="AD15" t="str">
        <x:f>IF(V15="","Open",IF(ABS(X15-Z15)&lt;=1,"Match","Mismatch"))</x:f>
        <x:v>Match</x:v>
      </x:c>
      <x:c r="AE15" t="str">
        <x:f>IF(OR(AC15="Open",AD15="Open"),"Open",IF(AND(AC15="Match",AD15="Match",W15=T15),"Matched","Exception"))</x:f>
        <x:v>Exception</x:v>
      </x:c>
      <x:c r="AF15" s="40" t="n">
        <x:f>MAX(L15-T15,0)</x:f>
        <x:v>9</x:v>
      </x:c>
    </x:row>
    <x:row r="16">
      <x:c r="A16" t="str">
        <x:v>PR100015</x:v>
      </x:c>
      <x:c r="B16" s="36" t="n">
        <x:v>46088</x:v>
      </x:c>
      <x:c r="C16" t="str">
        <x:v>Facilities</x:v>
      </x:c>
      <x:c r="D16" t="str">
        <x:v>PRJ-005</x:v>
      </x:c>
      <x:c r="E16" t="str">
        <x:v>MAT016</x:v>
      </x:c>
      <x:c r="F16" t="str">
        <x:v>MCB 32A</x:v>
      </x:c>
      <x:c r="G16" t="str">
        <x:v>Electrical</x:v>
      </x:c>
      <x:c r="H16" t="str">
        <x:v>EA</x:v>
      </x:c>
      <x:c r="I16" t="str">
        <x:v>SUP011</x:v>
      </x:c>
      <x:c r="J16" t="str">
        <x:v>Vertex Industrial Supply</x:v>
      </x:c>
      <x:c r="K16" t="str">
        <x:v>Maharashtra</x:v>
      </x:c>
      <x:c r="L16" s="40" t="n">
        <x:v>10</x:v>
      </x:c>
      <x:c r="M16" t="str">
        <x:v>PO200015</x:v>
      </x:c>
      <x:c r="N16" s="36" t="n">
        <x:v>46091</x:v>
      </x:c>
      <x:c r="O16" s="38" t="n">
        <x:v>536.37</x:v>
      </x:c>
      <x:c r="P16" t="str">
        <x:v>45 Days</x:v>
      </x:c>
      <x:c r="Q16" t="str">
        <x:v>M. Priya</x:v>
      </x:c>
      <x:c r="R16" s="36" t="n">
        <x:v>46104</x:v>
      </x:c>
      <x:c r="S16" s="36" t="n">
        <x:v>46102</x:v>
      </x:c>
      <x:c r="T16" s="40" t="n">
        <x:v>10</x:v>
      </x:c>
      <x:c r="U16" t="str">
        <x:v>INV300015</x:v>
      </x:c>
      <x:c r="V16" s="36" t="n">
        <x:v>46104</x:v>
      </x:c>
      <x:c r="W16" s="40" t="n">
        <x:v>10</x:v>
      </x:c>
      <x:c r="X16" s="38" t="n">
        <x:v>5363.7</x:v>
      </x:c>
      <x:c r="Y16" t="str">
        <x:v>Paid</x:v>
      </x:c>
      <x:c r="Z16" s="38" t="n">
        <x:f>ROUND(L16*O16,2)</x:f>
        <x:v>5363.7</x:v>
      </x:c>
      <x:c r="AA16" t="n">
        <x:f>IF(S16="","",S16-N16)</x:f>
        <x:v>11</x:v>
      </x:c>
      <x:c r="AB16" t="str">
        <x:f>IF(S16="","Open",IF(S16&lt;=R16,"On Time","Late"))</x:f>
        <x:v>On Time</x:v>
      </x:c>
      <x:c r="AC16" t="str">
        <x:f>IF(S16="","Open",IF(T16=L16,"Match","Mismatch"))</x:f>
        <x:v>Match</x:v>
      </x:c>
      <x:c r="AD16" t="str">
        <x:f>IF(V16="","Open",IF(ABS(X16-Z16)&lt;=1,"Match","Mismatch"))</x:f>
        <x:v>Match</x:v>
      </x:c>
      <x:c r="AE16" t="str">
        <x:f>IF(OR(AC16="Open",AD16="Open"),"Open",IF(AND(AC16="Match",AD16="Match",W16=T16),"Matched","Exception"))</x:f>
        <x:v>Matched</x:v>
      </x:c>
      <x:c r="AF16" s="40" t="n">
        <x:f>MAX(L16-T16,0)</x:f>
        <x:v>0</x:v>
      </x:c>
    </x:row>
    <x:row r="17">
      <x:c r="A17" t="str">
        <x:v>PR100016</x:v>
      </x:c>
      <x:c r="B17" s="36" t="n">
        <x:v>46261</x:v>
      </x:c>
      <x:c r="C17" t="str">
        <x:v>Operations</x:v>
      </x:c>
      <x:c r="D17" t="str">
        <x:v>PRJ-001</x:v>
      </x:c>
      <x:c r="E17" t="str">
        <x:v>MAT005</x:v>
      </x:c>
      <x:c r="F17" t="str">
        <x:v>TMT Steel Fe500 16mm</x:v>
      </x:c>
      <x:c r="G17" t="str">
        <x:v>Steel</x:v>
      </x:c>
      <x:c r="H17" t="str">
        <x:v>KG</x:v>
      </x:c>
      <x:c r="I17" t="str">
        <x:v>SUP002</x:v>
      </x:c>
      <x:c r="J17" t="str">
        <x:v>Metro Steel Traders</x:v>
      </x:c>
      <x:c r="K17" t="str">
        <x:v>Telangana</x:v>
      </x:c>
      <x:c r="L17" s="40" t="n">
        <x:v>250</x:v>
      </x:c>
      <x:c r="M17" t="str">
        <x:v>PO200016</x:v>
      </x:c>
      <x:c r="N17" s="36" t="n">
        <x:v>46262</x:v>
      </x:c>
      <x:c r="O17" s="38" t="n">
        <x:v>63.7</x:v>
      </x:c>
      <x:c r="P17" t="str">
        <x:v>60 Days</x:v>
      </x:c>
      <x:c r="Q17" t="str">
        <x:v>M. Priya</x:v>
      </x:c>
      <x:c r="R17" s="36" t="n">
        <x:v>46274</x:v>
      </x:c>
      <x:c r="S17" s="36" t="n">
        <x:v>46274</x:v>
      </x:c>
      <x:c r="T17" s="40" t="n">
        <x:v>250</x:v>
      </x:c>
      <x:c r="U17" t="str">
        <x:v>INV300016</x:v>
      </x:c>
      <x:c r="V17" s="36" t="n">
        <x:v>46277</x:v>
      </x:c>
      <x:c r="W17" s="40" t="n">
        <x:v>250</x:v>
      </x:c>
      <x:c r="X17" s="38" t="n">
        <x:v>15925</x:v>
      </x:c>
      <x:c r="Y17" t="str">
        <x:v>Paid</x:v>
      </x:c>
      <x:c r="Z17" s="38" t="n">
        <x:f>ROUND(L17*O17,2)</x:f>
        <x:v>15925</x:v>
      </x:c>
      <x:c r="AA17" t="n">
        <x:f>IF(S17="","",S17-N17)</x:f>
        <x:v>12</x:v>
      </x:c>
      <x:c r="AB17" t="str">
        <x:f>IF(S17="","Open",IF(S17&lt;=R17,"On Time","Late"))</x:f>
        <x:v>On Time</x:v>
      </x:c>
      <x:c r="AC17" t="str">
        <x:f>IF(S17="","Open",IF(T17=L17,"Match","Mismatch"))</x:f>
        <x:v>Match</x:v>
      </x:c>
      <x:c r="AD17" t="str">
        <x:f>IF(V17="","Open",IF(ABS(X17-Z17)&lt;=1,"Match","Mismatch"))</x:f>
        <x:v>Match</x:v>
      </x:c>
      <x:c r="AE17" t="str">
        <x:f>IF(OR(AC17="Open",AD17="Open"),"Open",IF(AND(AC17="Match",AD17="Match",W17=T17),"Matched","Exception"))</x:f>
        <x:v>Matched</x:v>
      </x:c>
      <x:c r="AF17" s="40" t="n">
        <x:f>MAX(L17-T17,0)</x:f>
        <x:v>0</x:v>
      </x:c>
    </x:row>
    <x:row r="18">
      <x:c r="A18" t="str">
        <x:v>PR100017</x:v>
      </x:c>
      <x:c r="B18" s="36" t="n">
        <x:v>46162</x:v>
      </x:c>
      <x:c r="C18" t="str">
        <x:v>Civil Projects</x:v>
      </x:c>
      <x:c r="D18" t="str">
        <x:v>PRJ-002</x:v>
      </x:c>
      <x:c r="E18" t="str">
        <x:v>MAT007</x:v>
      </x:c>
      <x:c r="F18" t="str">
        <x:v>River Sand</x:v>
      </x:c>
      <x:c r="G18" t="str">
        <x:v>Aggregates</x:v>
      </x:c>
      <x:c r="H18" t="str">
        <x:v>TON</x:v>
      </x:c>
      <x:c r="I18" t="str">
        <x:v>SUP003</x:v>
      </x:c>
      <x:c r="J18" t="str">
        <x:v>BuildRight Aggregates</x:v>
      </x:c>
      <x:c r="K18" t="str">
        <x:v>Telangana</x:v>
      </x:c>
      <x:c r="L18" s="40" t="n">
        <x:v>40</x:v>
      </x:c>
      <x:c r="M18" t="str">
        <x:v>PO200017</x:v>
      </x:c>
      <x:c r="N18" s="36" t="n">
        <x:v>46163</x:v>
      </x:c>
      <x:c r="O18" s="38" t="n">
        <x:v>1374.57</x:v>
      </x:c>
      <x:c r="P18" t="str">
        <x:v>60 Days</x:v>
      </x:c>
      <x:c r="Q18" t="str">
        <x:v>R. Sharma</x:v>
      </x:c>
      <x:c r="R18" s="36" t="n">
        <x:v>46178</x:v>
      </x:c>
      <x:c r="S18" s="36" t="n">
        <x:v>46176</x:v>
      </x:c>
      <x:c r="T18" s="40" t="n">
        <x:v>40</x:v>
      </x:c>
      <x:c r="U18" t="str">
        <x:v>INV300017</x:v>
      </x:c>
      <x:c r="V18" s="36" t="n">
        <x:v>46182</x:v>
      </x:c>
      <x:c r="W18" s="40" t="n">
        <x:v>40</x:v>
      </x:c>
      <x:c r="X18" s="38" t="n">
        <x:v>54982.8</x:v>
      </x:c>
      <x:c r="Y18" t="str">
        <x:v>Paid</x:v>
      </x:c>
      <x:c r="Z18" s="38" t="n">
        <x:f>ROUND(L18*O18,2)</x:f>
        <x:v>54982.8</x:v>
      </x:c>
      <x:c r="AA18" t="n">
        <x:f>IF(S18="","",S18-N18)</x:f>
        <x:v>13</x:v>
      </x:c>
      <x:c r="AB18" t="str">
        <x:f>IF(S18="","Open",IF(S18&lt;=R18,"On Time","Late"))</x:f>
        <x:v>On Time</x:v>
      </x:c>
      <x:c r="AC18" t="str">
        <x:f>IF(S18="","Open",IF(T18=L18,"Match","Mismatch"))</x:f>
        <x:v>Match</x:v>
      </x:c>
      <x:c r="AD18" t="str">
        <x:f>IF(V18="","Open",IF(ABS(X18-Z18)&lt;=1,"Match","Mismatch"))</x:f>
        <x:v>Match</x:v>
      </x:c>
      <x:c r="AE18" t="str">
        <x:f>IF(OR(AC18="Open",AD18="Open"),"Open",IF(AND(AC18="Match",AD18="Match",W18=T18),"Matched","Exception"))</x:f>
        <x:v>Matched</x:v>
      </x:c>
      <x:c r="AF18" s="40" t="n">
        <x:f>MAX(L18-T18,0)</x:f>
        <x:v>0</x:v>
      </x:c>
    </x:row>
    <x:row r="19">
      <x:c r="A19" t="str">
        <x:v>PR100018</x:v>
      </x:c>
      <x:c r="B19" s="36" t="n">
        <x:v>46028</x:v>
      </x:c>
      <x:c r="C19" t="str">
        <x:v>Facilities</x:v>
      </x:c>
      <x:c r="D19" t="str">
        <x:v>PRJ-007</x:v>
      </x:c>
      <x:c r="E19" t="str">
        <x:v>MAT018</x:v>
      </x:c>
      <x:c r="F19" t="str">
        <x:v>Safety Helmet</x:v>
      </x:c>
      <x:c r="G19" t="str">
        <x:v>Safety</x:v>
      </x:c>
      <x:c r="H19" t="str">
        <x:v>EA</x:v>
      </x:c>
      <x:c r="I19" t="str">
        <x:v>SUP006</x:v>
      </x:c>
      <x:c r="J19" t="str">
        <x:v>SafeSite Industrial</x:v>
      </x:c>
      <x:c r="K19" t="str">
        <x:v>Karnataka</x:v>
      </x:c>
      <x:c r="L19" s="40" t="n">
        <x:v>40</x:v>
      </x:c>
      <x:c r="M19" t="str">
        <x:v>PO200018</x:v>
      </x:c>
      <x:c r="N19" s="36" t="n">
        <x:v>46030</x:v>
      </x:c>
      <x:c r="O19" s="38" t="n">
        <x:v>370.14</x:v>
      </x:c>
      <x:c r="P19" t="str">
        <x:v>30 Days</x:v>
      </x:c>
      <x:c r="Q19" t="str">
        <x:v>A. Reddy</x:v>
      </x:c>
      <x:c r="R19" s="36" t="n">
        <x:v>46044</x:v>
      </x:c>
      <x:c r="S19" s="36" t="n">
        <x:v>46044</x:v>
      </x:c>
      <x:c r="T19" s="40" t="n">
        <x:v>40</x:v>
      </x:c>
      <x:c r="U19" t="str">
        <x:v>INV300018</x:v>
      </x:c>
      <x:c r="V19" s="36" t="n">
        <x:v>46050</x:v>
      </x:c>
      <x:c r="W19" s="40" t="n">
        <x:v>40</x:v>
      </x:c>
      <x:c r="X19" s="38" t="n">
        <x:v>14805.6</x:v>
      </x:c>
      <x:c r="Y19" t="str">
        <x:v>Pending Approval</x:v>
      </x:c>
      <x:c r="Z19" s="38" t="n">
        <x:f>ROUND(L19*O19,2)</x:f>
        <x:v>14805.6</x:v>
      </x:c>
      <x:c r="AA19" t="n">
        <x:f>IF(S19="","",S19-N19)</x:f>
        <x:v>14</x:v>
      </x:c>
      <x:c r="AB19" t="str">
        <x:f>IF(S19="","Open",IF(S19&lt;=R19,"On Time","Late"))</x:f>
        <x:v>On Time</x:v>
      </x:c>
      <x:c r="AC19" t="str">
        <x:f>IF(S19="","Open",IF(T19=L19,"Match","Mismatch"))</x:f>
        <x:v>Match</x:v>
      </x:c>
      <x:c r="AD19" t="str">
        <x:f>IF(V19="","Open",IF(ABS(X19-Z19)&lt;=1,"Match","Mismatch"))</x:f>
        <x:v>Match</x:v>
      </x:c>
      <x:c r="AE19" t="str">
        <x:f>IF(OR(AC19="Open",AD19="Open"),"Open",IF(AND(AC19="Match",AD19="Match",W19=T19),"Matched","Exception"))</x:f>
        <x:v>Matched</x:v>
      </x:c>
      <x:c r="AF19" s="40" t="n">
        <x:f>MAX(L19-T19,0)</x:f>
        <x:v>0</x:v>
      </x:c>
    </x:row>
    <x:row r="20">
      <x:c r="A20" t="str">
        <x:v>PR100019</x:v>
      </x:c>
      <x:c r="B20" s="36" t="n">
        <x:v>46047</x:v>
      </x:c>
      <x:c r="C20" t="str">
        <x:v>Facilities</x:v>
      </x:c>
      <x:c r="D20" t="str">
        <x:v>PRJ-007</x:v>
      </x:c>
      <x:c r="E20" t="str">
        <x:v>MAT020</x:v>
      </x:c>
      <x:c r="F20" t="str">
        <x:v>Safety Shoes</x:v>
      </x:c>
      <x:c r="G20" t="str">
        <x:v>Safety</x:v>
      </x:c>
      <x:c r="H20" t="str">
        <x:v>PAIR</x:v>
      </x:c>
      <x:c r="I20" t="str">
        <x:v>SUP007</x:v>
      </x:c>
      <x:c r="J20" t="str">
        <x:v>Precision Tools India</x:v>
      </x:c>
      <x:c r="K20" t="str">
        <x:v>Telangana</x:v>
      </x:c>
      <x:c r="L20" s="40" t="n">
        <x:v>30</x:v>
      </x:c>
      <x:c r="M20" t="str">
        <x:v>PO200019</x:v>
      </x:c>
      <x:c r="N20" s="36" t="n">
        <x:v>46049</x:v>
      </x:c>
      <x:c r="O20" s="38" t="n">
        <x:v>1508.07</x:v>
      </x:c>
      <x:c r="P20" t="str">
        <x:v>30 Days</x:v>
      </x:c>
      <x:c r="Q20" t="str">
        <x:v>S. Kumar</x:v>
      </x:c>
      <x:c r="R20" s="36" t="n">
        <x:v>46063</x:v>
      </x:c>
      <x:c r="S20" s="36" t="n">
        <x:v>46060</x:v>
      </x:c>
      <x:c r="T20" s="40" t="n">
        <x:v>30</x:v>
      </x:c>
      <x:c r="U20" t="str">
        <x:v>INV300019</x:v>
      </x:c>
      <x:c r="V20" s="36" t="n">
        <x:v>46066</x:v>
      </x:c>
      <x:c r="W20" s="40" t="n">
        <x:v>30</x:v>
      </x:c>
      <x:c r="X20" s="38" t="n">
        <x:v>45242.1</x:v>
      </x:c>
      <x:c r="Y20" t="str">
        <x:v>Pending Approval</x:v>
      </x:c>
      <x:c r="Z20" s="38" t="n">
        <x:f>ROUND(L20*O20,2)</x:f>
        <x:v>45242.1</x:v>
      </x:c>
      <x:c r="AA20" t="n">
        <x:f>IF(S20="","",S20-N20)</x:f>
        <x:v>11</x:v>
      </x:c>
      <x:c r="AB20" t="str">
        <x:f>IF(S20="","Open",IF(S20&lt;=R20,"On Time","Late"))</x:f>
        <x:v>On Time</x:v>
      </x:c>
      <x:c r="AC20" t="str">
        <x:f>IF(S20="","Open",IF(T20=L20,"Match","Mismatch"))</x:f>
        <x:v>Match</x:v>
      </x:c>
      <x:c r="AD20" t="str">
        <x:f>IF(V20="","Open",IF(ABS(X20-Z20)&lt;=1,"Match","Mismatch"))</x:f>
        <x:v>Match</x:v>
      </x:c>
      <x:c r="AE20" t="str">
        <x:f>IF(OR(AC20="Open",AD20="Open"),"Open",IF(AND(AC20="Match",AD20="Match",W20=T20),"Matched","Exception"))</x:f>
        <x:v>Matched</x:v>
      </x:c>
      <x:c r="AF20" s="40" t="n">
        <x:f>MAX(L20-T20,0)</x:f>
        <x:v>0</x:v>
      </x:c>
    </x:row>
    <x:row r="21">
      <x:c r="A21" t="str">
        <x:v>PR100020</x:v>
      </x:c>
      <x:c r="B21" s="36" t="n">
        <x:v>46154</x:v>
      </x:c>
      <x:c r="C21" t="str">
        <x:v>Maintenance</x:v>
      </x:c>
      <x:c r="D21" t="str">
        <x:v>PRJ-004</x:v>
      </x:c>
      <x:c r="E21" t="str">
        <x:v>MAT022</x:v>
      </x:c>
      <x:c r="F21" t="str">
        <x:v>Hammer Drill</x:v>
      </x:c>
      <x:c r="G21" t="str">
        <x:v>Tools</x:v>
      </x:c>
      <x:c r="H21" t="str">
        <x:v>EA</x:v>
      </x:c>
      <x:c r="I21" t="str">
        <x:v>SUP009</x:v>
      </x:c>
      <x:c r="J21" t="str">
        <x:v>Nava Bharat Hardware</x:v>
      </x:c>
      <x:c r="K21" t="str">
        <x:v>Andhra Pradesh</x:v>
      </x:c>
      <x:c r="L21" s="40" t="n">
        <x:v>20</x:v>
      </x:c>
      <x:c r="M21" t="str">
        <x:v>PO200020</x:v>
      </x:c>
      <x:c r="N21" s="36" t="n">
        <x:v>46156</x:v>
      </x:c>
      <x:c r="O21" s="38" t="n">
        <x:v>6724.23</x:v>
      </x:c>
      <x:c r="P21" t="str">
        <x:v>30 Days</x:v>
      </x:c>
      <x:c r="Q21" t="str">
        <x:v>R. Sharma</x:v>
      </x:c>
      <x:c r="R21" s="36" t="n">
        <x:v>46172</x:v>
      </x:c>
      <x:c r="S21" s="36"/>
      <x:c r="T21" s="40" t="n">
        <x:v>0</x:v>
      </x:c>
      <x:c r="U21" t="str"/>
      <x:c r="V21" s="36"/>
      <x:c r="W21" s="40" t="n">
        <x:v>0</x:v>
      </x:c>
      <x:c r="X21" s="38" t="str"/>
      <x:c r="Y21" t="str">
        <x:v>Open PO</x:v>
      </x:c>
      <x:c r="Z21" s="38" t="n">
        <x:f>ROUND(L21*O21,2)</x:f>
        <x:v>134484.6</x:v>
      </x:c>
      <x:c r="AA21" t="str">
        <x:f>IF(S21="","",S21-N21)</x:f>
      </x:c>
      <x:c r="AB21" t="str">
        <x:f>IF(S21="","Open",IF(S21&lt;=R21,"On Time","Late"))</x:f>
        <x:v>Open</x:v>
      </x:c>
      <x:c r="AC21" t="str">
        <x:f>IF(S21="","Open",IF(T21=L21,"Match","Mismatch"))</x:f>
        <x:v>Open</x:v>
      </x:c>
      <x:c r="AD21" t="str">
        <x:f>IF(V21="","Open",IF(ABS(X21-Z21)&lt;=1,"Match","Mismatch"))</x:f>
        <x:v>Open</x:v>
      </x:c>
      <x:c r="AE21" t="str">
        <x:f>IF(OR(AC21="Open",AD21="Open"),"Open",IF(AND(AC21="Match",AD21="Match",W21=T21),"Matched","Exception"))</x:f>
        <x:v>Open</x:v>
      </x:c>
      <x:c r="AF21" s="40" t="n">
        <x:f>MAX(L21-T21,0)</x:f>
        <x:v>20</x:v>
      </x:c>
    </x:row>
    <x:row r="22">
      <x:c r="A22" t="str">
        <x:v>PR100021</x:v>
      </x:c>
      <x:c r="B22" s="36" t="n">
        <x:v>46143</x:v>
      </x:c>
      <x:c r="C22" t="str">
        <x:v>Civil Projects</x:v>
      </x:c>
      <x:c r="D22" t="str">
        <x:v>PRJ-002</x:v>
      </x:c>
      <x:c r="E22" t="str">
        <x:v>MAT023</x:v>
      </x:c>
      <x:c r="F22" t="str">
        <x:v>Measuring Tape 5m</x:v>
      </x:c>
      <x:c r="G22" t="str">
        <x:v>Tools</x:v>
      </x:c>
      <x:c r="H22" t="str">
        <x:v>EA</x:v>
      </x:c>
      <x:c r="I22" t="str">
        <x:v>SUP009</x:v>
      </x:c>
      <x:c r="J22" t="str">
        <x:v>Nava Bharat Hardware</x:v>
      </x:c>
      <x:c r="K22" t="str">
        <x:v>Andhra Pradesh</x:v>
      </x:c>
      <x:c r="L22" s="40" t="n">
        <x:v>30</x:v>
      </x:c>
      <x:c r="M22" t="str">
        <x:v>PO200021</x:v>
      </x:c>
      <x:c r="N22" s="36" t="n">
        <x:v>46144</x:v>
      </x:c>
      <x:c r="O22" s="38" t="n">
        <x:v>317.35</x:v>
      </x:c>
      <x:c r="P22" t="str">
        <x:v>45 Days</x:v>
      </x:c>
      <x:c r="Q22" t="str">
        <x:v>S. Kumar</x:v>
      </x:c>
      <x:c r="R22" s="36" t="n">
        <x:v>46158</x:v>
      </x:c>
      <x:c r="S22" s="36" t="n">
        <x:v>46163</x:v>
      </x:c>
      <x:c r="T22" s="40" t="n">
        <x:v>30</x:v>
      </x:c>
      <x:c r="U22" t="str">
        <x:v>INV300021</x:v>
      </x:c>
      <x:c r="V22" s="36" t="n">
        <x:v>46168</x:v>
      </x:c>
      <x:c r="W22" s="40" t="n">
        <x:v>30</x:v>
      </x:c>
      <x:c r="X22" s="38" t="n">
        <x:v>9520.5</x:v>
      </x:c>
      <x:c r="Y22" t="str">
        <x:v>Paid</x:v>
      </x:c>
      <x:c r="Z22" s="38" t="n">
        <x:f>ROUND(L22*O22,2)</x:f>
        <x:v>9520.5</x:v>
      </x:c>
      <x:c r="AA22" t="n">
        <x:f>IF(S22="","",S22-N22)</x:f>
        <x:v>19</x:v>
      </x:c>
      <x:c r="AB22" t="str">
        <x:f>IF(S22="","Open",IF(S22&lt;=R22,"On Time","Late"))</x:f>
        <x:v>Late</x:v>
      </x:c>
      <x:c r="AC22" t="str">
        <x:f>IF(S22="","Open",IF(T22=L22,"Match","Mismatch"))</x:f>
        <x:v>Match</x:v>
      </x:c>
      <x:c r="AD22" t="str">
        <x:f>IF(V22="","Open",IF(ABS(X22-Z22)&lt;=1,"Match","Mismatch"))</x:f>
        <x:v>Match</x:v>
      </x:c>
      <x:c r="AE22" t="str">
        <x:f>IF(OR(AC22="Open",AD22="Open"),"Open",IF(AND(AC22="Match",AD22="Match",W22=T22),"Matched","Exception"))</x:f>
        <x:v>Matched</x:v>
      </x:c>
      <x:c r="AF22" s="40" t="n">
        <x:f>MAX(L22-T22,0)</x:f>
        <x:v>0</x:v>
      </x:c>
    </x:row>
    <x:row r="23">
      <x:c r="A23" t="str">
        <x:v>PR100022</x:v>
      </x:c>
      <x:c r="B23" s="36" t="n">
        <x:v>46046</x:v>
      </x:c>
      <x:c r="C23" t="str">
        <x:v>Facilities</x:v>
      </x:c>
      <x:c r="D23" t="str">
        <x:v>PRJ-006</x:v>
      </x:c>
      <x:c r="E23" t="str">
        <x:v>MAT038</x:v>
      </x:c>
      <x:c r="F23" t="str">
        <x:v>Hex Bolt M12</x:v>
      </x:c>
      <x:c r="G23" t="str">
        <x:v>Hardware</x:v>
      </x:c>
      <x:c r="H23" t="str">
        <x:v>EA</x:v>
      </x:c>
      <x:c r="I23" t="str">
        <x:v>SUP011</x:v>
      </x:c>
      <x:c r="J23" t="str">
        <x:v>Vertex Industrial Supply</x:v>
      </x:c>
      <x:c r="K23" t="str">
        <x:v>Maharashtra</x:v>
      </x:c>
      <x:c r="L23" s="40" t="n">
        <x:v>50</x:v>
      </x:c>
      <x:c r="M23" t="str">
        <x:v>PO200022</x:v>
      </x:c>
      <x:c r="N23" s="36" t="n">
        <x:v>46049</x:v>
      </x:c>
      <x:c r="O23" s="38" t="n">
        <x:v>23.13</x:v>
      </x:c>
      <x:c r="P23" t="str">
        <x:v>45 Days</x:v>
      </x:c>
      <x:c r="Q23" t="str">
        <x:v>A. Reddy</x:v>
      </x:c>
      <x:c r="R23" s="36" t="n">
        <x:v>46059</x:v>
      </x:c>
      <x:c r="S23" s="36" t="n">
        <x:v>46059</x:v>
      </x:c>
      <x:c r="T23" s="40" t="n">
        <x:v>50</x:v>
      </x:c>
      <x:c r="U23" t="str">
        <x:v>INV300022</x:v>
      </x:c>
      <x:c r="V23" s="36" t="n">
        <x:v>46064</x:v>
      </x:c>
      <x:c r="W23" s="40" t="n">
        <x:v>50</x:v>
      </x:c>
      <x:c r="X23" s="38" t="n">
        <x:v>1202.76</x:v>
      </x:c>
      <x:c r="Y23" t="str">
        <x:v>Paid</x:v>
      </x:c>
      <x:c r="Z23" s="38" t="n">
        <x:f>ROUND(L23*O23,2)</x:f>
        <x:v>1156.5</x:v>
      </x:c>
      <x:c r="AA23" t="n">
        <x:f>IF(S23="","",S23-N23)</x:f>
        <x:v>10</x:v>
      </x:c>
      <x:c r="AB23" t="str">
        <x:f>IF(S23="","Open",IF(S23&lt;=R23,"On Time","Late"))</x:f>
        <x:v>On Time</x:v>
      </x:c>
      <x:c r="AC23" t="str">
        <x:f>IF(S23="","Open",IF(T23=L23,"Match","Mismatch"))</x:f>
        <x:v>Match</x:v>
      </x:c>
      <x:c r="AD23" t="str">
        <x:f>IF(V23="","Open",IF(ABS(X23-Z23)&lt;=1,"Match","Mismatch"))</x:f>
        <x:v>Mismatch</x:v>
      </x:c>
      <x:c r="AE23" t="str">
        <x:f>IF(OR(AC23="Open",AD23="Open"),"Open",IF(AND(AC23="Match",AD23="Match",W23=T23),"Matched","Exception"))</x:f>
        <x:v>Exception</x:v>
      </x:c>
      <x:c r="AF23" s="40" t="n">
        <x:f>MAX(L23-T23,0)</x:f>
        <x:v>0</x:v>
      </x:c>
    </x:row>
    <x:row r="24">
      <x:c r="A24" t="str">
        <x:v>PR100023</x:v>
      </x:c>
      <x:c r="B24" s="36" t="n">
        <x:v>46090</x:v>
      </x:c>
      <x:c r="C24" t="str">
        <x:v>Operations</x:v>
      </x:c>
      <x:c r="D24" t="str">
        <x:v>PRJ-007</x:v>
      </x:c>
      <x:c r="E24" t="str">
        <x:v>MAT022</x:v>
      </x:c>
      <x:c r="F24" t="str">
        <x:v>Hammer Drill</x:v>
      </x:c>
      <x:c r="G24" t="str">
        <x:v>Tools</x:v>
      </x:c>
      <x:c r="H24" t="str">
        <x:v>EA</x:v>
      </x:c>
      <x:c r="I24" t="str">
        <x:v>SUP009</x:v>
      </x:c>
      <x:c r="J24" t="str">
        <x:v>Nava Bharat Hardware</x:v>
      </x:c>
      <x:c r="K24" t="str">
        <x:v>Andhra Pradesh</x:v>
      </x:c>
      <x:c r="L24" s="40" t="n">
        <x:v>75</x:v>
      </x:c>
      <x:c r="M24" t="str">
        <x:v>PO200023</x:v>
      </x:c>
      <x:c r="N24" s="36" t="n">
        <x:v>46094</x:v>
      </x:c>
      <x:c r="O24" s="38" t="n">
        <x:v>6655.25</x:v>
      </x:c>
      <x:c r="P24" t="str">
        <x:v>60 Days</x:v>
      </x:c>
      <x:c r="Q24" t="str">
        <x:v>A. Reddy</x:v>
      </x:c>
      <x:c r="R24" s="36" t="n">
        <x:v>46102</x:v>
      </x:c>
      <x:c r="S24" s="36" t="n">
        <x:v>46101</x:v>
      </x:c>
      <x:c r="T24" s="40" t="n">
        <x:v>75</x:v>
      </x:c>
      <x:c r="U24" t="str">
        <x:v>INV300023</x:v>
      </x:c>
      <x:c r="V24" s="36" t="n">
        <x:v>46105</x:v>
      </x:c>
      <x:c r="W24" s="40" t="n">
        <x:v>75</x:v>
      </x:c>
      <x:c r="X24" s="38" t="n">
        <x:v>499143.75</x:v>
      </x:c>
      <x:c r="Y24" t="str">
        <x:v>Paid</x:v>
      </x:c>
      <x:c r="Z24" s="38" t="n">
        <x:f>ROUND(L24*O24,2)</x:f>
        <x:v>499143.75</x:v>
      </x:c>
      <x:c r="AA24" t="n">
        <x:f>IF(S24="","",S24-N24)</x:f>
        <x:v>7</x:v>
      </x:c>
      <x:c r="AB24" t="str">
        <x:f>IF(S24="","Open",IF(S24&lt;=R24,"On Time","Late"))</x:f>
        <x:v>On Time</x:v>
      </x:c>
      <x:c r="AC24" t="str">
        <x:f>IF(S24="","Open",IF(T24=L24,"Match","Mismatch"))</x:f>
        <x:v>Match</x:v>
      </x:c>
      <x:c r="AD24" t="str">
        <x:f>IF(V24="","Open",IF(ABS(X24-Z24)&lt;=1,"Match","Mismatch"))</x:f>
        <x:v>Match</x:v>
      </x:c>
      <x:c r="AE24" t="str">
        <x:f>IF(OR(AC24="Open",AD24="Open"),"Open",IF(AND(AC24="Match",AD24="Match",W24=T24),"Matched","Exception"))</x:f>
        <x:v>Matched</x:v>
      </x:c>
      <x:c r="AF24" s="40" t="n">
        <x:f>MAX(L24-T24,0)</x:f>
        <x:v>0</x:v>
      </x:c>
    </x:row>
    <x:row r="25">
      <x:c r="A25" t="str">
        <x:v>PR100024</x:v>
      </x:c>
      <x:c r="B25" s="36" t="n">
        <x:v>46134</x:v>
      </x:c>
      <x:c r="C25" t="str">
        <x:v>Operations</x:v>
      </x:c>
      <x:c r="D25" t="str">
        <x:v>PRJ-002</x:v>
      </x:c>
      <x:c r="E25" t="str">
        <x:v>MAT020</x:v>
      </x:c>
      <x:c r="F25" t="str">
        <x:v>Safety Shoes</x:v>
      </x:c>
      <x:c r="G25" t="str">
        <x:v>Safety</x:v>
      </x:c>
      <x:c r="H25" t="str">
        <x:v>PAIR</x:v>
      </x:c>
      <x:c r="I25" t="str">
        <x:v>SUP007</x:v>
      </x:c>
      <x:c r="J25" t="str">
        <x:v>Precision Tools India</x:v>
      </x:c>
      <x:c r="K25" t="str">
        <x:v>Telangana</x:v>
      </x:c>
      <x:c r="L25" s="40" t="n">
        <x:v>50</x:v>
      </x:c>
      <x:c r="M25" t="str">
        <x:v>PO200024</x:v>
      </x:c>
      <x:c r="N25" s="36" t="n">
        <x:v>46139</x:v>
      </x:c>
      <x:c r="O25" s="38" t="n">
        <x:v>1455.36</x:v>
      </x:c>
      <x:c r="P25" t="str">
        <x:v>30 Days</x:v>
      </x:c>
      <x:c r="Q25" t="str">
        <x:v>M. Priya</x:v>
      </x:c>
      <x:c r="R25" s="36" t="n">
        <x:v>46152</x:v>
      </x:c>
      <x:c r="S25" s="36" t="n">
        <x:v>46149</x:v>
      </x:c>
      <x:c r="T25" s="40" t="n">
        <x:v>50</x:v>
      </x:c>
      <x:c r="U25" t="str">
        <x:v>INV300024</x:v>
      </x:c>
      <x:c r="V25" s="36" t="n">
        <x:v>46156</x:v>
      </x:c>
      <x:c r="W25" s="40" t="n">
        <x:v>50</x:v>
      </x:c>
      <x:c r="X25" s="38" t="n">
        <x:v>72768</x:v>
      </x:c>
      <x:c r="Y25" t="str">
        <x:v>Paid</x:v>
      </x:c>
      <x:c r="Z25" s="38" t="n">
        <x:f>ROUND(L25*O25,2)</x:f>
        <x:v>72768</x:v>
      </x:c>
      <x:c r="AA25" t="n">
        <x:f>IF(S25="","",S25-N25)</x:f>
        <x:v>10</x:v>
      </x:c>
      <x:c r="AB25" t="str">
        <x:f>IF(S25="","Open",IF(S25&lt;=R25,"On Time","Late"))</x:f>
        <x:v>On Time</x:v>
      </x:c>
      <x:c r="AC25" t="str">
        <x:f>IF(S25="","Open",IF(T25=L25,"Match","Mismatch"))</x:f>
        <x:v>Match</x:v>
      </x:c>
      <x:c r="AD25" t="str">
        <x:f>IF(V25="","Open",IF(ABS(X25-Z25)&lt;=1,"Match","Mismatch"))</x:f>
        <x:v>Match</x:v>
      </x:c>
      <x:c r="AE25" t="str">
        <x:f>IF(OR(AC25="Open",AD25="Open"),"Open",IF(AND(AC25="Match",AD25="Match",W25=T25),"Matched","Exception"))</x:f>
        <x:v>Matched</x:v>
      </x:c>
      <x:c r="AF25" s="40" t="n">
        <x:f>MAX(L25-T25,0)</x:f>
        <x:v>0</x:v>
      </x:c>
    </x:row>
    <x:row r="26">
      <x:c r="A26" t="str">
        <x:v>PR100025</x:v>
      </x:c>
      <x:c r="B26" s="36" t="n">
        <x:v>46102</x:v>
      </x:c>
      <x:c r="C26" t="str">
        <x:v>Civil Projects</x:v>
      </x:c>
      <x:c r="D26" t="str">
        <x:v>PRJ-002</x:v>
      </x:c>
      <x:c r="E26" t="str">
        <x:v>MAT015</x:v>
      </x:c>
      <x:c r="F26" t="str">
        <x:v>Copper Cable 4 sqmm</x:v>
      </x:c>
      <x:c r="G26" t="str">
        <x:v>Electrical</x:v>
      </x:c>
      <x:c r="H26" t="str">
        <x:v>M</x:v>
      </x:c>
      <x:c r="I26" t="str">
        <x:v>SUP004</x:v>
      </x:c>
      <x:c r="J26" t="str">
        <x:v>Southline Electricals</x:v>
      </x:c>
      <x:c r="K26" t="str">
        <x:v>Telangana</x:v>
      </x:c>
      <x:c r="L26" s="40" t="n">
        <x:v>1000</x:v>
      </x:c>
      <x:c r="M26" t="str">
        <x:v>PO200025</x:v>
      </x:c>
      <x:c r="N26" s="36" t="n">
        <x:v>46102</x:v>
      </x:c>
      <x:c r="O26" s="38" t="n">
        <x:v>74.16</x:v>
      </x:c>
      <x:c r="P26" t="str">
        <x:v>45 Days</x:v>
      </x:c>
      <x:c r="Q26" t="str">
        <x:v>S. Kumar</x:v>
      </x:c>
      <x:c r="R26" s="36" t="n">
        <x:v>46109</x:v>
      </x:c>
      <x:c r="S26" s="36" t="n">
        <x:v>46108</x:v>
      </x:c>
      <x:c r="T26" s="40" t="n">
        <x:v>1000</x:v>
      </x:c>
      <x:c r="U26" t="str">
        <x:v>INV300025</x:v>
      </x:c>
      <x:c r="V26" s="36" t="n">
        <x:v>46112</x:v>
      </x:c>
      <x:c r="W26" s="40" t="n">
        <x:v>1000</x:v>
      </x:c>
      <x:c r="X26" s="38" t="n">
        <x:v>74160</x:v>
      </x:c>
      <x:c r="Y26" t="str">
        <x:v>Paid</x:v>
      </x:c>
      <x:c r="Z26" s="38" t="n">
        <x:f>ROUND(L26*O26,2)</x:f>
        <x:v>74160</x:v>
      </x:c>
      <x:c r="AA26" t="n">
        <x:f>IF(S26="","",S26-N26)</x:f>
        <x:v>6</x:v>
      </x:c>
      <x:c r="AB26" t="str">
        <x:f>IF(S26="","Open",IF(S26&lt;=R26,"On Time","Late"))</x:f>
        <x:v>On Time</x:v>
      </x:c>
      <x:c r="AC26" t="str">
        <x:f>IF(S26="","Open",IF(T26=L26,"Match","Mismatch"))</x:f>
        <x:v>Match</x:v>
      </x:c>
      <x:c r="AD26" t="str">
        <x:f>IF(V26="","Open",IF(ABS(X26-Z26)&lt;=1,"Match","Mismatch"))</x:f>
        <x:v>Match</x:v>
      </x:c>
      <x:c r="AE26" t="str">
        <x:f>IF(OR(AC26="Open",AD26="Open"),"Open",IF(AND(AC26="Match",AD26="Match",W26=T26),"Matched","Exception"))</x:f>
        <x:v>Matched</x:v>
      </x:c>
      <x:c r="AF26" s="40" t="n">
        <x:f>MAX(L26-T26,0)</x:f>
        <x:v>0</x:v>
      </x:c>
    </x:row>
    <x:row r="27">
      <x:c r="A27" t="str">
        <x:v>PR100026</x:v>
      </x:c>
      <x:c r="B27" s="36" t="n">
        <x:v>46052</x:v>
      </x:c>
      <x:c r="C27" t="str">
        <x:v>Maintenance</x:v>
      </x:c>
      <x:c r="D27" t="str">
        <x:v>PRJ-003</x:v>
      </x:c>
      <x:c r="E27" t="str">
        <x:v>MAT012</x:v>
      </x:c>
      <x:c r="F27" t="str">
        <x:v>PVC Pipe 110mm</x:v>
      </x:c>
      <x:c r="G27" t="str">
        <x:v>Plumbing</x:v>
      </x:c>
      <x:c r="H27" t="str">
        <x:v>M</x:v>
      </x:c>
      <x:c r="I27" t="str">
        <x:v>SUP009</x:v>
      </x:c>
      <x:c r="J27" t="str">
        <x:v>Nava Bharat Hardware</x:v>
      </x:c>
      <x:c r="K27" t="str">
        <x:v>Andhra Pradesh</x:v>
      </x:c>
      <x:c r="L27" s="40" t="n">
        <x:v>200</x:v>
      </x:c>
      <x:c r="M27" t="str">
        <x:v>PO200026</x:v>
      </x:c>
      <x:c r="N27" s="36" t="n">
        <x:v>46053</x:v>
      </x:c>
      <x:c r="O27" s="38" t="n">
        <x:v>329.92</x:v>
      </x:c>
      <x:c r="P27" t="str">
        <x:v>60 Days</x:v>
      </x:c>
      <x:c r="Q27" t="str">
        <x:v>R. Sharma</x:v>
      </x:c>
      <x:c r="R27" s="36" t="n">
        <x:v>46064</x:v>
      </x:c>
      <x:c r="S27" s="36" t="n">
        <x:v>46062</x:v>
      </x:c>
      <x:c r="T27" s="40" t="n">
        <x:v>200</x:v>
      </x:c>
      <x:c r="U27" t="str">
        <x:v>INV300026</x:v>
      </x:c>
      <x:c r="V27" s="36" t="n">
        <x:v>46066</x:v>
      </x:c>
      <x:c r="W27" s="40" t="n">
        <x:v>200</x:v>
      </x:c>
      <x:c r="X27" s="38" t="n">
        <x:v>65984</x:v>
      </x:c>
      <x:c r="Y27" t="str">
        <x:v>Paid</x:v>
      </x:c>
      <x:c r="Z27" s="38" t="n">
        <x:f>ROUND(L27*O27,2)</x:f>
        <x:v>65984</x:v>
      </x:c>
      <x:c r="AA27" t="n">
        <x:f>IF(S27="","",S27-N27)</x:f>
        <x:v>9</x:v>
      </x:c>
      <x:c r="AB27" t="str">
        <x:f>IF(S27="","Open",IF(S27&lt;=R27,"On Time","Late"))</x:f>
        <x:v>On Time</x:v>
      </x:c>
      <x:c r="AC27" t="str">
        <x:f>IF(S27="","Open",IF(T27=L27,"Match","Mismatch"))</x:f>
        <x:v>Match</x:v>
      </x:c>
      <x:c r="AD27" t="str">
        <x:f>IF(V27="","Open",IF(ABS(X27-Z27)&lt;=1,"Match","Mismatch"))</x:f>
        <x:v>Match</x:v>
      </x:c>
      <x:c r="AE27" t="str">
        <x:f>IF(OR(AC27="Open",AD27="Open"),"Open",IF(AND(AC27="Match",AD27="Match",W27=T27),"Matched","Exception"))</x:f>
        <x:v>Matched</x:v>
      </x:c>
      <x:c r="AF27" s="40" t="n">
        <x:f>MAX(L27-T27,0)</x:f>
        <x:v>0</x:v>
      </x:c>
    </x:row>
    <x:row r="28">
      <x:c r="A28" t="str">
        <x:v>PR100027</x:v>
      </x:c>
      <x:c r="B28" s="36" t="n">
        <x:v>46153</x:v>
      </x:c>
      <x:c r="C28" t="str">
        <x:v>Operations</x:v>
      </x:c>
      <x:c r="D28" t="str">
        <x:v>PRJ-004</x:v>
      </x:c>
      <x:c r="E28" t="str">
        <x:v>MAT029</x:v>
      </x:c>
      <x:c r="F28" t="str">
        <x:v>Ceramic Floor Tile</x:v>
      </x:c>
      <x:c r="G28" t="str">
        <x:v>Finishes</x:v>
      </x:c>
      <x:c r="H28" t="str">
        <x:v>SQM</x:v>
      </x:c>
      <x:c r="I28" t="str">
        <x:v>SUP011</x:v>
      </x:c>
      <x:c r="J28" t="str">
        <x:v>Vertex Industrial Supply</x:v>
      </x:c>
      <x:c r="K28" t="str">
        <x:v>Maharashtra</x:v>
      </x:c>
      <x:c r="L28" s="40" t="n">
        <x:v>12</x:v>
      </x:c>
      <x:c r="M28" t="str">
        <x:v>PO200027</x:v>
      </x:c>
      <x:c r="N28" s="36" t="n">
        <x:v>46157</x:v>
      </x:c>
      <x:c r="O28" s="38" t="n">
        <x:v>659.21</x:v>
      </x:c>
      <x:c r="P28" t="str">
        <x:v>45 Days</x:v>
      </x:c>
      <x:c r="Q28" t="str">
        <x:v>M. Priya</x:v>
      </x:c>
      <x:c r="R28" s="36" t="n">
        <x:v>46168</x:v>
      </x:c>
      <x:c r="S28" s="36"/>
      <x:c r="T28" s="40" t="n">
        <x:v>0</x:v>
      </x:c>
      <x:c r="U28" t="str"/>
      <x:c r="V28" s="36"/>
      <x:c r="W28" s="40" t="n">
        <x:v>0</x:v>
      </x:c>
      <x:c r="X28" s="38" t="str"/>
      <x:c r="Y28" t="str">
        <x:v>Open PO</x:v>
      </x:c>
      <x:c r="Z28" s="38" t="n">
        <x:f>ROUND(L28*O28,2)</x:f>
        <x:v>7910.52</x:v>
      </x:c>
      <x:c r="AA28" t="str">
        <x:f>IF(S28="","",S28-N28)</x:f>
      </x:c>
      <x:c r="AB28" t="str">
        <x:f>IF(S28="","Open",IF(S28&lt;=R28,"On Time","Late"))</x:f>
        <x:v>Open</x:v>
      </x:c>
      <x:c r="AC28" t="str">
        <x:f>IF(S28="","Open",IF(T28=L28,"Match","Mismatch"))</x:f>
        <x:v>Open</x:v>
      </x:c>
      <x:c r="AD28" t="str">
        <x:f>IF(V28="","Open",IF(ABS(X28-Z28)&lt;=1,"Match","Mismatch"))</x:f>
        <x:v>Open</x:v>
      </x:c>
      <x:c r="AE28" t="str">
        <x:f>IF(OR(AC28="Open",AD28="Open"),"Open",IF(AND(AC28="Match",AD28="Match",W28=T28),"Matched","Exception"))</x:f>
        <x:v>Open</x:v>
      </x:c>
      <x:c r="AF28" s="40" t="n">
        <x:f>MAX(L28-T28,0)</x:f>
        <x:v>12</x:v>
      </x:c>
    </x:row>
    <x:row r="29">
      <x:c r="A29" t="str">
        <x:v>PR100028</x:v>
      </x:c>
      <x:c r="B29" s="36" t="n">
        <x:v>46097</x:v>
      </x:c>
      <x:c r="C29" t="str">
        <x:v>Maintenance</x:v>
      </x:c>
      <x:c r="D29" t="str">
        <x:v>PRJ-006</x:v>
      </x:c>
      <x:c r="E29" t="str">
        <x:v>MAT021</x:v>
      </x:c>
      <x:c r="F29" t="str">
        <x:v>Angle Grinder 100mm</x:v>
      </x:c>
      <x:c r="G29" t="str">
        <x:v>Tools</x:v>
      </x:c>
      <x:c r="H29" t="str">
        <x:v>EA</x:v>
      </x:c>
      <x:c r="I29" t="str">
        <x:v>SUP007</x:v>
      </x:c>
      <x:c r="J29" t="str">
        <x:v>Precision Tools India</x:v>
      </x:c>
      <x:c r="K29" t="str">
        <x:v>Telangana</x:v>
      </x:c>
      <x:c r="L29" s="40" t="n">
        <x:v>25</x:v>
      </x:c>
      <x:c r="M29" t="str">
        <x:v>PO200028</x:v>
      </x:c>
      <x:c r="N29" s="36" t="n">
        <x:v>46098</x:v>
      </x:c>
      <x:c r="O29" s="38" t="n">
        <x:v>3403.26</x:v>
      </x:c>
      <x:c r="P29" t="str">
        <x:v>60 Days</x:v>
      </x:c>
      <x:c r="Q29" t="str">
        <x:v>R. Sharma</x:v>
      </x:c>
      <x:c r="R29" s="36" t="n">
        <x:v>46108</x:v>
      </x:c>
      <x:c r="S29" s="36"/>
      <x:c r="T29" s="40" t="n">
        <x:v>0</x:v>
      </x:c>
      <x:c r="U29" t="str"/>
      <x:c r="V29" s="36"/>
      <x:c r="W29" s="40" t="n">
        <x:v>0</x:v>
      </x:c>
      <x:c r="X29" s="38" t="str"/>
      <x:c r="Y29" t="str">
        <x:v>Open PO</x:v>
      </x:c>
      <x:c r="Z29" s="38" t="n">
        <x:f>ROUND(L29*O29,2)</x:f>
        <x:v>85081.5</x:v>
      </x:c>
      <x:c r="AA29" t="str">
        <x:f>IF(S29="","",S29-N29)</x:f>
      </x:c>
      <x:c r="AB29" t="str">
        <x:f>IF(S29="","Open",IF(S29&lt;=R29,"On Time","Late"))</x:f>
        <x:v>Open</x:v>
      </x:c>
      <x:c r="AC29" t="str">
        <x:f>IF(S29="","Open",IF(T29=L29,"Match","Mismatch"))</x:f>
        <x:v>Open</x:v>
      </x:c>
      <x:c r="AD29" t="str">
        <x:f>IF(V29="","Open",IF(ABS(X29-Z29)&lt;=1,"Match","Mismatch"))</x:f>
        <x:v>Open</x:v>
      </x:c>
      <x:c r="AE29" t="str">
        <x:f>IF(OR(AC29="Open",AD29="Open"),"Open",IF(AND(AC29="Match",AD29="Match",W29=T29),"Matched","Exception"))</x:f>
        <x:v>Open</x:v>
      </x:c>
      <x:c r="AF29" s="40" t="n">
        <x:f>MAX(L29-T29,0)</x:f>
        <x:v>25</x:v>
      </x:c>
    </x:row>
    <x:row r="30">
      <x:c r="A30" t="str">
        <x:v>PR100029</x:v>
      </x:c>
      <x:c r="B30" s="36" t="n">
        <x:v>46132</x:v>
      </x:c>
      <x:c r="C30" t="str">
        <x:v>Maintenance</x:v>
      </x:c>
      <x:c r="D30" t="str">
        <x:v>PRJ-008</x:v>
      </x:c>
      <x:c r="E30" t="str">
        <x:v>MAT027</x:v>
      </x:c>
      <x:c r="F30" t="str">
        <x:v>Wall Putty 20kg</x:v>
      </x:c>
      <x:c r="G30" t="str">
        <x:v>Finishes</x:v>
      </x:c>
      <x:c r="H30" t="str">
        <x:v>BAG</x:v>
      </x:c>
      <x:c r="I30" t="str">
        <x:v>SUP010</x:v>
      </x:c>
      <x:c r="J30" t="str">
        <x:v>Urban Infra Materials</x:v>
      </x:c>
      <x:c r="K30" t="str">
        <x:v>Karnataka</x:v>
      </x:c>
      <x:c r="L30" s="40" t="n">
        <x:v>200</x:v>
      </x:c>
      <x:c r="M30" t="str">
        <x:v>PO200029</x:v>
      </x:c>
      <x:c r="N30" s="36" t="n">
        <x:v>46136</x:v>
      </x:c>
      <x:c r="O30" s="38" t="n">
        <x:v>850.43</x:v>
      </x:c>
      <x:c r="P30" t="str">
        <x:v>30 Days</x:v>
      </x:c>
      <x:c r="Q30" t="str">
        <x:v>M. Priya</x:v>
      </x:c>
      <x:c r="R30" s="36" t="n">
        <x:v>46154</x:v>
      </x:c>
      <x:c r="S30" s="36"/>
      <x:c r="T30" s="40" t="n">
        <x:v>0</x:v>
      </x:c>
      <x:c r="U30" t="str"/>
      <x:c r="V30" s="36"/>
      <x:c r="W30" s="40" t="n">
        <x:v>0</x:v>
      </x:c>
      <x:c r="X30" s="38" t="str"/>
      <x:c r="Y30" t="str">
        <x:v>Open PO</x:v>
      </x:c>
      <x:c r="Z30" s="38" t="n">
        <x:f>ROUND(L30*O30,2)</x:f>
        <x:v>170086</x:v>
      </x:c>
      <x:c r="AA30" t="str">
        <x:f>IF(S30="","",S30-N30)</x:f>
      </x:c>
      <x:c r="AB30" t="str">
        <x:f>IF(S30="","Open",IF(S30&lt;=R30,"On Time","Late"))</x:f>
        <x:v>Open</x:v>
      </x:c>
      <x:c r="AC30" t="str">
        <x:f>IF(S30="","Open",IF(T30=L30,"Match","Mismatch"))</x:f>
        <x:v>Open</x:v>
      </x:c>
      <x:c r="AD30" t="str">
        <x:f>IF(V30="","Open",IF(ABS(X30-Z30)&lt;=1,"Match","Mismatch"))</x:f>
        <x:v>Open</x:v>
      </x:c>
      <x:c r="AE30" t="str">
        <x:f>IF(OR(AC30="Open",AD30="Open"),"Open",IF(AND(AC30="Match",AD30="Match",W30=T30),"Matched","Exception"))</x:f>
        <x:v>Open</x:v>
      </x:c>
      <x:c r="AF30" s="40" t="n">
        <x:f>MAX(L30-T30,0)</x:f>
        <x:v>200</x:v>
      </x:c>
    </x:row>
    <x:row r="31">
      <x:c r="A31" t="str">
        <x:v>PR100030</x:v>
      </x:c>
      <x:c r="B31" s="36" t="n">
        <x:v>46241</x:v>
      </x:c>
      <x:c r="C31" t="str">
        <x:v>Operations</x:v>
      </x:c>
      <x:c r="D31" t="str">
        <x:v>PRJ-007</x:v>
      </x:c>
      <x:c r="E31" t="str">
        <x:v>MAT020</x:v>
      </x:c>
      <x:c r="F31" t="str">
        <x:v>Safety Shoes</x:v>
      </x:c>
      <x:c r="G31" t="str">
        <x:v>Safety</x:v>
      </x:c>
      <x:c r="H31" t="str">
        <x:v>PAIR</x:v>
      </x:c>
      <x:c r="I31" t="str">
        <x:v>SUP007</x:v>
      </x:c>
      <x:c r="J31" t="str">
        <x:v>Precision Tools India</x:v>
      </x:c>
      <x:c r="K31" t="str">
        <x:v>Telangana</x:v>
      </x:c>
      <x:c r="L31" s="40" t="n">
        <x:v>40</x:v>
      </x:c>
      <x:c r="M31" t="str">
        <x:v>PO200030</x:v>
      </x:c>
      <x:c r="N31" s="36" t="n">
        <x:v>46243</x:v>
      </x:c>
      <x:c r="O31" s="38" t="n">
        <x:v>1447.75</x:v>
      </x:c>
      <x:c r="P31" t="str">
        <x:v>60 Days</x:v>
      </x:c>
      <x:c r="Q31" t="str">
        <x:v>S. Kumar</x:v>
      </x:c>
      <x:c r="R31" s="36" t="n">
        <x:v>46250</x:v>
      </x:c>
      <x:c r="S31" s="36"/>
      <x:c r="T31" s="40" t="n">
        <x:v>0</x:v>
      </x:c>
      <x:c r="U31" t="str"/>
      <x:c r="V31" s="36"/>
      <x:c r="W31" s="40" t="n">
        <x:v>0</x:v>
      </x:c>
      <x:c r="X31" s="38" t="str"/>
      <x:c r="Y31" t="str">
        <x:v>Open PO</x:v>
      </x:c>
      <x:c r="Z31" s="38" t="n">
        <x:f>ROUND(L31*O31,2)</x:f>
        <x:v>57910</x:v>
      </x:c>
      <x:c r="AA31" t="str">
        <x:f>IF(S31="","",S31-N31)</x:f>
      </x:c>
      <x:c r="AB31" t="str">
        <x:f>IF(S31="","Open",IF(S31&lt;=R31,"On Time","Late"))</x:f>
        <x:v>Open</x:v>
      </x:c>
      <x:c r="AC31" t="str">
        <x:f>IF(S31="","Open",IF(T31=L31,"Match","Mismatch"))</x:f>
        <x:v>Open</x:v>
      </x:c>
      <x:c r="AD31" t="str">
        <x:f>IF(V31="","Open",IF(ABS(X31-Z31)&lt;=1,"Match","Mismatch"))</x:f>
        <x:v>Open</x:v>
      </x:c>
      <x:c r="AE31" t="str">
        <x:f>IF(OR(AC31="Open",AD31="Open"),"Open",IF(AND(AC31="Match",AD31="Match",W31=T31),"Matched","Exception"))</x:f>
        <x:v>Open</x:v>
      </x:c>
      <x:c r="AF31" s="40" t="n">
        <x:f>MAX(L31-T31,0)</x:f>
        <x:v>40</x:v>
      </x:c>
    </x:row>
    <x:row r="32">
      <x:c r="A32" t="str">
        <x:v>PR100031</x:v>
      </x:c>
      <x:c r="B32" s="36" t="n">
        <x:v>46040</x:v>
      </x:c>
      <x:c r="C32" t="str">
        <x:v>Maintenance</x:v>
      </x:c>
      <x:c r="D32" t="str">
        <x:v>PRJ-005</x:v>
      </x:c>
      <x:c r="E32" t="str">
        <x:v>MAT030</x:v>
      </x:c>
      <x:c r="F32" t="str">
        <x:v>Waterproofing Compound 20L</x:v>
      </x:c>
      <x:c r="G32" t="str">
        <x:v>Finishes</x:v>
      </x:c>
      <x:c r="H32" t="str">
        <x:v>CAN</x:v>
      </x:c>
      <x:c r="I32" t="str">
        <x:v>SUP010</x:v>
      </x:c>
      <x:c r="J32" t="str">
        <x:v>Urban Infra Materials</x:v>
      </x:c>
      <x:c r="K32" t="str">
        <x:v>Karnataka</x:v>
      </x:c>
      <x:c r="L32" s="40" t="n">
        <x:v>10</x:v>
      </x:c>
      <x:c r="M32" t="str">
        <x:v>PO200031</x:v>
      </x:c>
      <x:c r="N32" s="36" t="n">
        <x:v>46045</x:v>
      </x:c>
      <x:c r="O32" s="38" t="n">
        <x:v>2291.02</x:v>
      </x:c>
      <x:c r="P32" t="str">
        <x:v>45 Days</x:v>
      </x:c>
      <x:c r="Q32" t="str">
        <x:v>M. Priya</x:v>
      </x:c>
      <x:c r="R32" s="36" t="n">
        <x:v>46058</x:v>
      </x:c>
      <x:c r="S32" s="36" t="n">
        <x:v>46057</x:v>
      </x:c>
      <x:c r="T32" s="40" t="n">
        <x:v>1</x:v>
      </x:c>
      <x:c r="U32" t="str">
        <x:v>INV300031</x:v>
      </x:c>
      <x:c r="V32" s="36" t="n">
        <x:v>46060</x:v>
      </x:c>
      <x:c r="W32" s="40" t="n">
        <x:v>1</x:v>
      </x:c>
      <x:c r="X32" s="38" t="n">
        <x:v>22910.2</x:v>
      </x:c>
      <x:c r="Y32" t="str">
        <x:v>Paid</x:v>
      </x:c>
      <x:c r="Z32" s="38" t="n">
        <x:f>ROUND(L32*O32,2)</x:f>
        <x:v>22910.2</x:v>
      </x:c>
      <x:c r="AA32" t="n">
        <x:f>IF(S32="","",S32-N32)</x:f>
        <x:v>12</x:v>
      </x:c>
      <x:c r="AB32" t="str">
        <x:f>IF(S32="","Open",IF(S32&lt;=R32,"On Time","Late"))</x:f>
        <x:v>On Time</x:v>
      </x:c>
      <x:c r="AC32" t="str">
        <x:f>IF(S32="","Open",IF(T32=L32,"Match","Mismatch"))</x:f>
        <x:v>Mismatch</x:v>
      </x:c>
      <x:c r="AD32" t="str">
        <x:f>IF(V32="","Open",IF(ABS(X32-Z32)&lt;=1,"Match","Mismatch"))</x:f>
        <x:v>Match</x:v>
      </x:c>
      <x:c r="AE32" t="str">
        <x:f>IF(OR(AC32="Open",AD32="Open"),"Open",IF(AND(AC32="Match",AD32="Match",W32=T32),"Matched","Exception"))</x:f>
        <x:v>Exception</x:v>
      </x:c>
      <x:c r="AF32" s="40" t="n">
        <x:f>MAX(L32-T32,0)</x:f>
        <x:v>9</x:v>
      </x:c>
    </x:row>
    <x:row r="33">
      <x:c r="A33" t="str">
        <x:v>PR100032</x:v>
      </x:c>
      <x:c r="B33" s="36" t="n">
        <x:v>46036</x:v>
      </x:c>
      <x:c r="C33" t="str">
        <x:v>Civil Projects</x:v>
      </x:c>
      <x:c r="D33" t="str">
        <x:v>PRJ-004</x:v>
      </x:c>
      <x:c r="E33" t="str">
        <x:v>MAT006</x:v>
      </x:c>
      <x:c r="F33" t="str">
        <x:v>Structural Steel Angle</x:v>
      </x:c>
      <x:c r="G33" t="str">
        <x:v>Steel</x:v>
      </x:c>
      <x:c r="H33" t="str">
        <x:v>KG</x:v>
      </x:c>
      <x:c r="I33" t="str">
        <x:v>SUP009</x:v>
      </x:c>
      <x:c r="J33" t="str">
        <x:v>Nava Bharat Hardware</x:v>
      </x:c>
      <x:c r="K33" t="str">
        <x:v>Andhra Pradesh</x:v>
      </x:c>
      <x:c r="L33" s="40" t="n">
        <x:v>150</x:v>
      </x:c>
      <x:c r="M33" t="str">
        <x:v>PO200032</x:v>
      </x:c>
      <x:c r="N33" s="36" t="n">
        <x:v>46037</x:v>
      </x:c>
      <x:c r="O33" s="38" t="n">
        <x:v>82.73</x:v>
      </x:c>
      <x:c r="P33" t="str">
        <x:v>45 Days</x:v>
      </x:c>
      <x:c r="Q33" t="str">
        <x:v>M. Priya</x:v>
      </x:c>
      <x:c r="R33" s="36" t="n">
        <x:v>46044</x:v>
      </x:c>
      <x:c r="S33" s="36" t="n">
        <x:v>46043</x:v>
      </x:c>
      <x:c r="T33" s="40" t="n">
        <x:v>150</x:v>
      </x:c>
      <x:c r="U33" t="str">
        <x:v>INV300032</x:v>
      </x:c>
      <x:c r="V33" s="36" t="n">
        <x:v>46044</x:v>
      </x:c>
      <x:c r="W33" s="40" t="n">
        <x:v>150</x:v>
      </x:c>
      <x:c r="X33" s="38" t="n">
        <x:v>12409.5</x:v>
      </x:c>
      <x:c r="Y33" t="str">
        <x:v>Paid</x:v>
      </x:c>
      <x:c r="Z33" s="38" t="n">
        <x:f>ROUND(L33*O33,2)</x:f>
        <x:v>12409.5</x:v>
      </x:c>
      <x:c r="AA33" t="n">
        <x:f>IF(S33="","",S33-N33)</x:f>
        <x:v>6</x:v>
      </x:c>
      <x:c r="AB33" t="str">
        <x:f>IF(S33="","Open",IF(S33&lt;=R33,"On Time","Late"))</x:f>
        <x:v>On Time</x:v>
      </x:c>
      <x:c r="AC33" t="str">
        <x:f>IF(S33="","Open",IF(T33=L33,"Match","Mismatch"))</x:f>
        <x:v>Match</x:v>
      </x:c>
      <x:c r="AD33" t="str">
        <x:f>IF(V33="","Open",IF(ABS(X33-Z33)&lt;=1,"Match","Mismatch"))</x:f>
        <x:v>Match</x:v>
      </x:c>
      <x:c r="AE33" t="str">
        <x:f>IF(OR(AC33="Open",AD33="Open"),"Open",IF(AND(AC33="Match",AD33="Match",W33=T33),"Matched","Exception"))</x:f>
        <x:v>Matched</x:v>
      </x:c>
      <x:c r="AF33" s="40" t="n">
        <x:f>MAX(L33-T33,0)</x:f>
        <x:v>0</x:v>
      </x:c>
    </x:row>
    <x:row r="34">
      <x:c r="A34" t="str">
        <x:v>PR100033</x:v>
      </x:c>
      <x:c r="B34" s="36" t="n">
        <x:v>46085</x:v>
      </x:c>
      <x:c r="C34" t="str">
        <x:v>Facilities</x:v>
      </x:c>
      <x:c r="D34" t="str">
        <x:v>PRJ-002</x:v>
      </x:c>
      <x:c r="E34" t="str">
        <x:v>MAT024</x:v>
      </x:c>
      <x:c r="F34" t="str">
        <x:v>Binding Wire</x:v>
      </x:c>
      <x:c r="G34" t="str">
        <x:v>Steel</x:v>
      </x:c>
      <x:c r="H34" t="str">
        <x:v>KG</x:v>
      </x:c>
      <x:c r="I34" t="str">
        <x:v>SUP002</x:v>
      </x:c>
      <x:c r="J34" t="str">
        <x:v>Metro Steel Traders</x:v>
      </x:c>
      <x:c r="K34" t="str">
        <x:v>Telangana</x:v>
      </x:c>
      <x:c r="L34" s="40" t="n">
        <x:v>2000</x:v>
      </x:c>
      <x:c r="M34" t="str">
        <x:v>PO200033</x:v>
      </x:c>
      <x:c r="N34" s="36" t="n">
        <x:v>46087</x:v>
      </x:c>
      <x:c r="O34" s="38" t="n">
        <x:v>75.82</x:v>
      </x:c>
      <x:c r="P34" t="str">
        <x:v>60 Days</x:v>
      </x:c>
      <x:c r="Q34" t="str">
        <x:v>M. Priya</x:v>
      </x:c>
      <x:c r="R34" s="36" t="n">
        <x:v>46092</x:v>
      </x:c>
      <x:c r="S34" s="36" t="n">
        <x:v>46089</x:v>
      </x:c>
      <x:c r="T34" s="40" t="n">
        <x:v>2000</x:v>
      </x:c>
      <x:c r="U34" t="str">
        <x:v>INV300033</x:v>
      </x:c>
      <x:c r="V34" s="36" t="n">
        <x:v>46095</x:v>
      </x:c>
      <x:c r="W34" s="40" t="n">
        <x:v>2000</x:v>
      </x:c>
      <x:c r="X34" s="38" t="n">
        <x:v>151640</x:v>
      </x:c>
      <x:c r="Y34" t="str">
        <x:v>Pending Approval</x:v>
      </x:c>
      <x:c r="Z34" s="38" t="n">
        <x:f>ROUND(L34*O34,2)</x:f>
        <x:v>151640</x:v>
      </x:c>
      <x:c r="AA34" t="n">
        <x:f>IF(S34="","",S34-N34)</x:f>
        <x:v>2</x:v>
      </x:c>
      <x:c r="AB34" t="str">
        <x:f>IF(S34="","Open",IF(S34&lt;=R34,"On Time","Late"))</x:f>
        <x:v>On Time</x:v>
      </x:c>
      <x:c r="AC34" t="str">
        <x:f>IF(S34="","Open",IF(T34=L34,"Match","Mismatch"))</x:f>
        <x:v>Match</x:v>
      </x:c>
      <x:c r="AD34" t="str">
        <x:f>IF(V34="","Open",IF(ABS(X34-Z34)&lt;=1,"Match","Mismatch"))</x:f>
        <x:v>Match</x:v>
      </x:c>
      <x:c r="AE34" t="str">
        <x:f>IF(OR(AC34="Open",AD34="Open"),"Open",IF(AND(AC34="Match",AD34="Match",W34=T34),"Matched","Exception"))</x:f>
        <x:v>Matched</x:v>
      </x:c>
      <x:c r="AF34" s="40" t="n">
        <x:f>MAX(L34-T34,0)</x:f>
        <x:v>0</x:v>
      </x:c>
    </x:row>
    <x:row r="35">
      <x:c r="A35" t="str">
        <x:v>PR100034</x:v>
      </x:c>
      <x:c r="B35" s="36" t="n">
        <x:v>46048</x:v>
      </x:c>
      <x:c r="C35" t="str">
        <x:v>Maintenance</x:v>
      </x:c>
      <x:c r="D35" t="str">
        <x:v>PRJ-003</x:v>
      </x:c>
      <x:c r="E35" t="str">
        <x:v>MAT039</x:v>
      </x:c>
      <x:c r="F35" t="str">
        <x:v>Door Hinge SS</x:v>
      </x:c>
      <x:c r="G35" t="str">
        <x:v>Hardware</x:v>
      </x:c>
      <x:c r="H35" t="str">
        <x:v>PAIR</x:v>
      </x:c>
      <x:c r="I35" t="str">
        <x:v>SUP009</x:v>
      </x:c>
      <x:c r="J35" t="str">
        <x:v>Nava Bharat Hardware</x:v>
      </x:c>
      <x:c r="K35" t="str">
        <x:v>Andhra Pradesh</x:v>
      </x:c>
      <x:c r="L35" s="40" t="n">
        <x:v>50</x:v>
      </x:c>
      <x:c r="M35" t="str">
        <x:v>PO200034</x:v>
      </x:c>
      <x:c r="N35" s="36" t="n">
        <x:v>46052</x:v>
      </x:c>
      <x:c r="O35" s="38" t="n">
        <x:v>354.32</x:v>
      </x:c>
      <x:c r="P35" t="str">
        <x:v>45 Days</x:v>
      </x:c>
      <x:c r="Q35" t="str">
        <x:v>S. Kumar</x:v>
      </x:c>
      <x:c r="R35" s="36" t="n">
        <x:v>46062</x:v>
      </x:c>
      <x:c r="S35" s="36" t="n">
        <x:v>46069</x:v>
      </x:c>
      <x:c r="T35" s="40" t="n">
        <x:v>50</x:v>
      </x:c>
      <x:c r="U35" t="str">
        <x:v>INV300034</x:v>
      </x:c>
      <x:c r="V35" s="36" t="n">
        <x:v>46070</x:v>
      </x:c>
      <x:c r="W35" s="40" t="n">
        <x:v>50</x:v>
      </x:c>
      <x:c r="X35" s="38" t="n">
        <x:v>17716</x:v>
      </x:c>
      <x:c r="Y35" t="str">
        <x:v>Pending Approval</x:v>
      </x:c>
      <x:c r="Z35" s="38" t="n">
        <x:f>ROUND(L35*O35,2)</x:f>
        <x:v>17716</x:v>
      </x:c>
      <x:c r="AA35" t="n">
        <x:f>IF(S35="","",S35-N35)</x:f>
        <x:v>17</x:v>
      </x:c>
      <x:c r="AB35" t="str">
        <x:f>IF(S35="","Open",IF(S35&lt;=R35,"On Time","Late"))</x:f>
        <x:v>Late</x:v>
      </x:c>
      <x:c r="AC35" t="str">
        <x:f>IF(S35="","Open",IF(T35=L35,"Match","Mismatch"))</x:f>
        <x:v>Match</x:v>
      </x:c>
      <x:c r="AD35" t="str">
        <x:f>IF(V35="","Open",IF(ABS(X35-Z35)&lt;=1,"Match","Mismatch"))</x:f>
        <x:v>Match</x:v>
      </x:c>
      <x:c r="AE35" t="str">
        <x:f>IF(OR(AC35="Open",AD35="Open"),"Open",IF(AND(AC35="Match",AD35="Match",W35=T35),"Matched","Exception"))</x:f>
        <x:v>Matched</x:v>
      </x:c>
      <x:c r="AF35" s="40" t="n">
        <x:f>MAX(L35-T35,0)</x:f>
        <x:v>0</x:v>
      </x:c>
    </x:row>
    <x:row r="36">
      <x:c r="A36" t="str">
        <x:v>PR100035</x:v>
      </x:c>
      <x:c r="B36" s="36" t="n">
        <x:v>46274</x:v>
      </x:c>
      <x:c r="C36" t="str">
        <x:v>Maintenance</x:v>
      </x:c>
      <x:c r="D36" t="str">
        <x:v>PRJ-006</x:v>
      </x:c>
      <x:c r="E36" t="str">
        <x:v>MAT034</x:v>
      </x:c>
      <x:c r="F36" t="str">
        <x:v>Industrial Adhesive</x:v>
      </x:c>
      <x:c r="G36" t="str">
        <x:v>Consumables</x:v>
      </x:c>
      <x:c r="H36" t="str">
        <x:v>KG</x:v>
      </x:c>
      <x:c r="I36" t="str">
        <x:v>SUP009</x:v>
      </x:c>
      <x:c r="J36" t="str">
        <x:v>Nava Bharat Hardware</x:v>
      </x:c>
      <x:c r="K36" t="str">
        <x:v>Andhra Pradesh</x:v>
      </x:c>
      <x:c r="L36" s="40" t="n">
        <x:v>2000</x:v>
      </x:c>
      <x:c r="M36" t="str">
        <x:v>PO200035</x:v>
      </x:c>
      <x:c r="N36" s="36" t="n">
        <x:v>46279</x:v>
      </x:c>
      <x:c r="O36" s="38" t="n">
        <x:v>406.69</x:v>
      </x:c>
      <x:c r="P36" t="str">
        <x:v>30 Days</x:v>
      </x:c>
      <x:c r="Q36" t="str">
        <x:v>R. Sharma</x:v>
      </x:c>
      <x:c r="R36" s="36" t="n">
        <x:v>46296</x:v>
      </x:c>
      <x:c r="S36" s="36" t="n">
        <x:v>46296</x:v>
      </x:c>
      <x:c r="T36" s="40" t="n">
        <x:v>2000</x:v>
      </x:c>
      <x:c r="U36" t="str">
        <x:v>INV300035</x:v>
      </x:c>
      <x:c r="V36" s="36" t="n">
        <x:v>46300</x:v>
      </x:c>
      <x:c r="W36" s="40" t="n">
        <x:v>2000</x:v>
      </x:c>
      <x:c r="X36" s="38" t="n">
        <x:v>813380</x:v>
      </x:c>
      <x:c r="Y36" t="str">
        <x:v>Paid</x:v>
      </x:c>
      <x:c r="Z36" s="38" t="n">
        <x:f>ROUND(L36*O36,2)</x:f>
        <x:v>813380</x:v>
      </x:c>
      <x:c r="AA36" t="n">
        <x:f>IF(S36="","",S36-N36)</x:f>
        <x:v>17</x:v>
      </x:c>
      <x:c r="AB36" t="str">
        <x:f>IF(S36="","Open",IF(S36&lt;=R36,"On Time","Late"))</x:f>
        <x:v>On Time</x:v>
      </x:c>
      <x:c r="AC36" t="str">
        <x:f>IF(S36="","Open",IF(T36=L36,"Match","Mismatch"))</x:f>
        <x:v>Match</x:v>
      </x:c>
      <x:c r="AD36" t="str">
        <x:f>IF(V36="","Open",IF(ABS(X36-Z36)&lt;=1,"Match","Mismatch"))</x:f>
        <x:v>Match</x:v>
      </x:c>
      <x:c r="AE36" t="str">
        <x:f>IF(OR(AC36="Open",AD36="Open"),"Open",IF(AND(AC36="Match",AD36="Match",W36=T36),"Matched","Exception"))</x:f>
        <x:v>Matched</x:v>
      </x:c>
      <x:c r="AF36" s="40" t="n">
        <x:f>MAX(L36-T36,0)</x:f>
        <x:v>0</x:v>
      </x:c>
    </x:row>
    <x:row r="37">
      <x:c r="A37" t="str">
        <x:v>PR100036</x:v>
      </x:c>
      <x:c r="B37" s="36" t="n">
        <x:v>46276</x:v>
      </x:c>
      <x:c r="C37" t="str">
        <x:v>Maintenance</x:v>
      </x:c>
      <x:c r="D37" t="str">
        <x:v>PRJ-004</x:v>
      </x:c>
      <x:c r="E37" t="str">
        <x:v>MAT021</x:v>
      </x:c>
      <x:c r="F37" t="str">
        <x:v>Angle Grinder 100mm</x:v>
      </x:c>
      <x:c r="G37" t="str">
        <x:v>Tools</x:v>
      </x:c>
      <x:c r="H37" t="str">
        <x:v>EA</x:v>
      </x:c>
      <x:c r="I37" t="str">
        <x:v>SUP007</x:v>
      </x:c>
      <x:c r="J37" t="str">
        <x:v>Precision Tools India</x:v>
      </x:c>
      <x:c r="K37" t="str">
        <x:v>Telangana</x:v>
      </x:c>
      <x:c r="L37" s="40" t="n">
        <x:v>40</x:v>
      </x:c>
      <x:c r="M37" t="str">
        <x:v>PO200036</x:v>
      </x:c>
      <x:c r="N37" s="36" t="n">
        <x:v>46278</x:v>
      </x:c>
      <x:c r="O37" s="38" t="n">
        <x:v>3189.1</x:v>
      </x:c>
      <x:c r="P37" t="str">
        <x:v>60 Days</x:v>
      </x:c>
      <x:c r="Q37" t="str">
        <x:v>R. Sharma</x:v>
      </x:c>
      <x:c r="R37" s="36" t="n">
        <x:v>46294</x:v>
      </x:c>
      <x:c r="S37" s="36" t="n">
        <x:v>46292</x:v>
      </x:c>
      <x:c r="T37" s="40" t="n">
        <x:v>40</x:v>
      </x:c>
      <x:c r="U37" t="str">
        <x:v>INV300036</x:v>
      </x:c>
      <x:c r="V37" s="36" t="n">
        <x:v>46297</x:v>
      </x:c>
      <x:c r="W37" s="40" t="n">
        <x:v>40</x:v>
      </x:c>
      <x:c r="X37" s="38" t="n">
        <x:v>127564</x:v>
      </x:c>
      <x:c r="Y37" t="str">
        <x:v>Paid</x:v>
      </x:c>
      <x:c r="Z37" s="38" t="n">
        <x:f>ROUND(L37*O37,2)</x:f>
        <x:v>127564</x:v>
      </x:c>
      <x:c r="AA37" t="n">
        <x:f>IF(S37="","",S37-N37)</x:f>
        <x:v>14</x:v>
      </x:c>
      <x:c r="AB37" t="str">
        <x:f>IF(S37="","Open",IF(S37&lt;=R37,"On Time","Late"))</x:f>
        <x:v>On Time</x:v>
      </x:c>
      <x:c r="AC37" t="str">
        <x:f>IF(S37="","Open",IF(T37=L37,"Match","Mismatch"))</x:f>
        <x:v>Match</x:v>
      </x:c>
      <x:c r="AD37" t="str">
        <x:f>IF(V37="","Open",IF(ABS(X37-Z37)&lt;=1,"Match","Mismatch"))</x:f>
        <x:v>Match</x:v>
      </x:c>
      <x:c r="AE37" t="str">
        <x:f>IF(OR(AC37="Open",AD37="Open"),"Open",IF(AND(AC37="Match",AD37="Match",W37=T37),"Matched","Exception"))</x:f>
        <x:v>Matched</x:v>
      </x:c>
      <x:c r="AF37" s="40" t="n">
        <x:f>MAX(L37-T37,0)</x:f>
        <x:v>0</x:v>
      </x:c>
    </x:row>
    <x:row r="38">
      <x:c r="A38" t="str">
        <x:v>PR100037</x:v>
      </x:c>
      <x:c r="B38" s="36" t="n">
        <x:v>46035</x:v>
      </x:c>
      <x:c r="C38" t="str">
        <x:v>Maintenance</x:v>
      </x:c>
      <x:c r="D38" t="str">
        <x:v>PRJ-005</x:v>
      </x:c>
      <x:c r="E38" t="str">
        <x:v>MAT032</x:v>
      </x:c>
      <x:c r="F38" t="str">
        <x:v>Printer Toner</x:v>
      </x:c>
      <x:c r="G38" t="str">
        <x:v>Office Supplies</x:v>
      </x:c>
      <x:c r="H38" t="str">
        <x:v>EA</x:v>
      </x:c>
      <x:c r="I38" t="str">
        <x:v>SUP008</x:v>
      </x:c>
      <x:c r="J38" t="str">
        <x:v>Prime Office Solutions</x:v>
      </x:c>
      <x:c r="K38" t="str">
        <x:v>Telangana</x:v>
      </x:c>
      <x:c r="L38" s="40" t="n">
        <x:v>75</x:v>
      </x:c>
      <x:c r="M38" t="str">
        <x:v>PO200037</x:v>
      </x:c>
      <x:c r="N38" s="36" t="n">
        <x:v>46037</x:v>
      </x:c>
      <x:c r="O38" s="38" t="n">
        <x:v>4857.03</x:v>
      </x:c>
      <x:c r="P38" t="str">
        <x:v>45 Days</x:v>
      </x:c>
      <x:c r="Q38" t="str">
        <x:v>M. Priya</x:v>
      </x:c>
      <x:c r="R38" s="36" t="n">
        <x:v>46044</x:v>
      </x:c>
      <x:c r="S38" s="36" t="n">
        <x:v>46041</x:v>
      </x:c>
      <x:c r="T38" s="40" t="n">
        <x:v>75</x:v>
      </x:c>
      <x:c r="U38" t="str">
        <x:v>INV300037</x:v>
      </x:c>
      <x:c r="V38" s="36" t="n">
        <x:v>46044</x:v>
      </x:c>
      <x:c r="W38" s="40" t="n">
        <x:v>75</x:v>
      </x:c>
      <x:c r="X38" s="38" t="n">
        <x:v>364277.25</x:v>
      </x:c>
      <x:c r="Y38" t="str">
        <x:v>Paid</x:v>
      </x:c>
      <x:c r="Z38" s="38" t="n">
        <x:f>ROUND(L38*O38,2)</x:f>
        <x:v>364277.25</x:v>
      </x:c>
      <x:c r="AA38" t="n">
        <x:f>IF(S38="","",S38-N38)</x:f>
        <x:v>4</x:v>
      </x:c>
      <x:c r="AB38" t="str">
        <x:f>IF(S38="","Open",IF(S38&lt;=R38,"On Time","Late"))</x:f>
        <x:v>On Time</x:v>
      </x:c>
      <x:c r="AC38" t="str">
        <x:f>IF(S38="","Open",IF(T38=L38,"Match","Mismatch"))</x:f>
        <x:v>Match</x:v>
      </x:c>
      <x:c r="AD38" t="str">
        <x:f>IF(V38="","Open",IF(ABS(X38-Z38)&lt;=1,"Match","Mismatch"))</x:f>
        <x:v>Match</x:v>
      </x:c>
      <x:c r="AE38" t="str">
        <x:f>IF(OR(AC38="Open",AD38="Open"),"Open",IF(AND(AC38="Match",AD38="Match",W38=T38),"Matched","Exception"))</x:f>
        <x:v>Matched</x:v>
      </x:c>
      <x:c r="AF38" s="40" t="n">
        <x:f>MAX(L38-T38,0)</x:f>
        <x:v>0</x:v>
      </x:c>
    </x:row>
    <x:row r="39">
      <x:c r="A39" t="str">
        <x:v>PR100038</x:v>
      </x:c>
      <x:c r="B39" s="36" t="n">
        <x:v>46125</x:v>
      </x:c>
      <x:c r="C39" t="str">
        <x:v>Civil Projects</x:v>
      </x:c>
      <x:c r="D39" t="str">
        <x:v>PRJ-004</x:v>
      </x:c>
      <x:c r="E39" t="str">
        <x:v>MAT015</x:v>
      </x:c>
      <x:c r="F39" t="str">
        <x:v>Copper Cable 4 sqmm</x:v>
      </x:c>
      <x:c r="G39" t="str">
        <x:v>Electrical</x:v>
      </x:c>
      <x:c r="H39" t="str">
        <x:v>M</x:v>
      </x:c>
      <x:c r="I39" t="str">
        <x:v>SUP004</x:v>
      </x:c>
      <x:c r="J39" t="str">
        <x:v>Southline Electricals</x:v>
      </x:c>
      <x:c r="K39" t="str">
        <x:v>Telangana</x:v>
      </x:c>
      <x:c r="L39" s="40" t="n">
        <x:v>1500</x:v>
      </x:c>
      <x:c r="M39" t="str">
        <x:v>PO200038</x:v>
      </x:c>
      <x:c r="N39" s="36" t="n">
        <x:v>46127</x:v>
      </x:c>
      <x:c r="O39" s="38" t="n">
        <x:v>78.56</x:v>
      </x:c>
      <x:c r="P39" t="str">
        <x:v>45 Days</x:v>
      </x:c>
      <x:c r="Q39" t="str">
        <x:v>S. Kumar</x:v>
      </x:c>
      <x:c r="R39" s="36" t="n">
        <x:v>46142</x:v>
      </x:c>
      <x:c r="S39" s="36" t="n">
        <x:v>46139</x:v>
      </x:c>
      <x:c r="T39" s="40" t="n">
        <x:v>1500</x:v>
      </x:c>
      <x:c r="U39" t="str">
        <x:v>INV300038</x:v>
      </x:c>
      <x:c r="V39" s="36" t="n">
        <x:v>46144</x:v>
      </x:c>
      <x:c r="W39" s="40" t="n">
        <x:v>1500</x:v>
      </x:c>
      <x:c r="X39" s="38" t="n">
        <x:v>117840</x:v>
      </x:c>
      <x:c r="Y39" t="str">
        <x:v>Paid</x:v>
      </x:c>
      <x:c r="Z39" s="38" t="n">
        <x:f>ROUND(L39*O39,2)</x:f>
        <x:v>117840</x:v>
      </x:c>
      <x:c r="AA39" t="n">
        <x:f>IF(S39="","",S39-N39)</x:f>
        <x:v>12</x:v>
      </x:c>
      <x:c r="AB39" t="str">
        <x:f>IF(S39="","Open",IF(S39&lt;=R39,"On Time","Late"))</x:f>
        <x:v>On Time</x:v>
      </x:c>
      <x:c r="AC39" t="str">
        <x:f>IF(S39="","Open",IF(T39=L39,"Match","Mismatch"))</x:f>
        <x:v>Match</x:v>
      </x:c>
      <x:c r="AD39" t="str">
        <x:f>IF(V39="","Open",IF(ABS(X39-Z39)&lt;=1,"Match","Mismatch"))</x:f>
        <x:v>Match</x:v>
      </x:c>
      <x:c r="AE39" t="str">
        <x:f>IF(OR(AC39="Open",AD39="Open"),"Open",IF(AND(AC39="Match",AD39="Match",W39=T39),"Matched","Exception"))</x:f>
        <x:v>Matched</x:v>
      </x:c>
      <x:c r="AF39" s="40" t="n">
        <x:f>MAX(L39-T39,0)</x:f>
        <x:v>0</x:v>
      </x:c>
    </x:row>
    <x:row r="40">
      <x:c r="A40" t="str">
        <x:v>PR100039</x:v>
      </x:c>
      <x:c r="B40" s="36" t="n">
        <x:v>46181</x:v>
      </x:c>
      <x:c r="C40" t="str">
        <x:v>Operations</x:v>
      </x:c>
      <x:c r="D40" t="str">
        <x:v>PRJ-003</x:v>
      </x:c>
      <x:c r="E40" t="str">
        <x:v>MAT024</x:v>
      </x:c>
      <x:c r="F40" t="str">
        <x:v>Binding Wire</x:v>
      </x:c>
      <x:c r="G40" t="str">
        <x:v>Steel</x:v>
      </x:c>
      <x:c r="H40" t="str">
        <x:v>KG</x:v>
      </x:c>
      <x:c r="I40" t="str">
        <x:v>SUP002</x:v>
      </x:c>
      <x:c r="J40" t="str">
        <x:v>Metro Steel Traders</x:v>
      </x:c>
      <x:c r="K40" t="str">
        <x:v>Telangana</x:v>
      </x:c>
      <x:c r="L40" s="40" t="n">
        <x:v>300</x:v>
      </x:c>
      <x:c r="M40" t="str">
        <x:v>PO200039</x:v>
      </x:c>
      <x:c r="N40" s="36" t="n">
        <x:v>46183</x:v>
      </x:c>
      <x:c r="O40" s="38" t="n">
        <x:v>76.11</x:v>
      </x:c>
      <x:c r="P40" t="str">
        <x:v>60 Days</x:v>
      </x:c>
      <x:c r="Q40" t="str">
        <x:v>R. Sharma</x:v>
      </x:c>
      <x:c r="R40" s="36" t="n">
        <x:v>46189</x:v>
      </x:c>
      <x:c r="S40" s="36"/>
      <x:c r="T40" s="40" t="n">
        <x:v>0</x:v>
      </x:c>
      <x:c r="U40" t="str"/>
      <x:c r="V40" s="36"/>
      <x:c r="W40" s="40" t="n">
        <x:v>0</x:v>
      </x:c>
      <x:c r="X40" s="38" t="str"/>
      <x:c r="Y40" t="str">
        <x:v>Open PO</x:v>
      </x:c>
      <x:c r="Z40" s="38" t="n">
        <x:f>ROUND(L40*O40,2)</x:f>
        <x:v>22833</x:v>
      </x:c>
      <x:c r="AA40" t="str">
        <x:f>IF(S40="","",S40-N40)</x:f>
      </x:c>
      <x:c r="AB40" t="str">
        <x:f>IF(S40="","Open",IF(S40&lt;=R40,"On Time","Late"))</x:f>
        <x:v>Open</x:v>
      </x:c>
      <x:c r="AC40" t="str">
        <x:f>IF(S40="","Open",IF(T40=L40,"Match","Mismatch"))</x:f>
        <x:v>Open</x:v>
      </x:c>
      <x:c r="AD40" t="str">
        <x:f>IF(V40="","Open",IF(ABS(X40-Z40)&lt;=1,"Match","Mismatch"))</x:f>
        <x:v>Open</x:v>
      </x:c>
      <x:c r="AE40" t="str">
        <x:f>IF(OR(AC40="Open",AD40="Open"),"Open",IF(AND(AC40="Match",AD40="Match",W40=T40),"Matched","Exception"))</x:f>
        <x:v>Open</x:v>
      </x:c>
      <x:c r="AF40" s="40" t="n">
        <x:f>MAX(L40-T40,0)</x:f>
        <x:v>300</x:v>
      </x:c>
    </x:row>
    <x:row r="41">
      <x:c r="A41" t="str">
        <x:v>PR100040</x:v>
      </x:c>
      <x:c r="B41" s="36" t="n">
        <x:v>46172</x:v>
      </x:c>
      <x:c r="C41" t="str">
        <x:v>Maintenance</x:v>
      </x:c>
      <x:c r="D41" t="str">
        <x:v>PRJ-002</x:v>
      </x:c>
      <x:c r="E41" t="str">
        <x:v>MAT007</x:v>
      </x:c>
      <x:c r="F41" t="str">
        <x:v>River Sand</x:v>
      </x:c>
      <x:c r="G41" t="str">
        <x:v>Aggregates</x:v>
      </x:c>
      <x:c r="H41" t="str">
        <x:v>TON</x:v>
      </x:c>
      <x:c r="I41" t="str">
        <x:v>SUP003</x:v>
      </x:c>
      <x:c r="J41" t="str">
        <x:v>BuildRight Aggregates</x:v>
      </x:c>
      <x:c r="K41" t="str">
        <x:v>Telangana</x:v>
      </x:c>
      <x:c r="L41" s="40" t="n">
        <x:v>20</x:v>
      </x:c>
      <x:c r="M41" t="str">
        <x:v>PO200040</x:v>
      </x:c>
      <x:c r="N41" s="36" t="n">
        <x:v>46177</x:v>
      </x:c>
      <x:c r="O41" s="38" t="n">
        <x:v>1382.12</x:v>
      </x:c>
      <x:c r="P41" t="str">
        <x:v>30 Days</x:v>
      </x:c>
      <x:c r="Q41" t="str">
        <x:v>R. Sharma</x:v>
      </x:c>
      <x:c r="R41" s="36" t="n">
        <x:v>46188</x:v>
      </x:c>
      <x:c r="S41" s="36"/>
      <x:c r="T41" s="40" t="n">
        <x:v>0</x:v>
      </x:c>
      <x:c r="U41" t="str"/>
      <x:c r="V41" s="36"/>
      <x:c r="W41" s="40" t="n">
        <x:v>0</x:v>
      </x:c>
      <x:c r="X41" s="38" t="str"/>
      <x:c r="Y41" t="str">
        <x:v>Open PO</x:v>
      </x:c>
      <x:c r="Z41" s="38" t="n">
        <x:f>ROUND(L41*O41,2)</x:f>
        <x:v>27642.4</x:v>
      </x:c>
      <x:c r="AA41" t="str">
        <x:f>IF(S41="","",S41-N41)</x:f>
      </x:c>
      <x:c r="AB41" t="str">
        <x:f>IF(S41="","Open",IF(S41&lt;=R41,"On Time","Late"))</x:f>
        <x:v>Open</x:v>
      </x:c>
      <x:c r="AC41" t="str">
        <x:f>IF(S41="","Open",IF(T41=L41,"Match","Mismatch"))</x:f>
        <x:v>Open</x:v>
      </x:c>
      <x:c r="AD41" t="str">
        <x:f>IF(V41="","Open",IF(ABS(X41-Z41)&lt;=1,"Match","Mismatch"))</x:f>
        <x:v>Open</x:v>
      </x:c>
      <x:c r="AE41" t="str">
        <x:f>IF(OR(AC41="Open",AD41="Open"),"Open",IF(AND(AC41="Match",AD41="Match",W41=T41),"Matched","Exception"))</x:f>
        <x:v>Open</x:v>
      </x:c>
      <x:c r="AF41" s="40" t="n">
        <x:f>MAX(L41-T41,0)</x:f>
        <x:v>20</x:v>
      </x:c>
    </x:row>
    <x:row r="42">
      <x:c r="A42" t="str">
        <x:v>PR100041</x:v>
      </x:c>
      <x:c r="B42" s="36" t="n">
        <x:v>46054</x:v>
      </x:c>
      <x:c r="C42" t="str">
        <x:v>Maintenance</x:v>
      </x:c>
      <x:c r="D42" t="str">
        <x:v>PRJ-005</x:v>
      </x:c>
      <x:c r="E42" t="str">
        <x:v>MAT032</x:v>
      </x:c>
      <x:c r="F42" t="str">
        <x:v>Printer Toner</x:v>
      </x:c>
      <x:c r="G42" t="str">
        <x:v>Office Supplies</x:v>
      </x:c>
      <x:c r="H42" t="str">
        <x:v>EA</x:v>
      </x:c>
      <x:c r="I42" t="str">
        <x:v>SUP008</x:v>
      </x:c>
      <x:c r="J42" t="str">
        <x:v>Prime Office Solutions</x:v>
      </x:c>
      <x:c r="K42" t="str">
        <x:v>Telangana</x:v>
      </x:c>
      <x:c r="L42" s="40" t="n">
        <x:v>200</x:v>
      </x:c>
      <x:c r="M42" t="str">
        <x:v>PO200041</x:v>
      </x:c>
      <x:c r="N42" s="36" t="n">
        <x:v>46055</x:v>
      </x:c>
      <x:c r="O42" s="38" t="n">
        <x:v>5072.42</x:v>
      </x:c>
      <x:c r="P42" t="str">
        <x:v>60 Days</x:v>
      </x:c>
      <x:c r="Q42" t="str">
        <x:v>R. Sharma</x:v>
      </x:c>
      <x:c r="R42" s="36" t="n">
        <x:v>46071</x:v>
      </x:c>
      <x:c r="S42" s="36" t="n">
        <x:v>46068</x:v>
      </x:c>
      <x:c r="T42" s="40" t="n">
        <x:v>200</x:v>
      </x:c>
      <x:c r="U42" t="str">
        <x:v>INV300041</x:v>
      </x:c>
      <x:c r="V42" s="36" t="n">
        <x:v>46075</x:v>
      </x:c>
      <x:c r="W42" s="40" t="n">
        <x:v>200</x:v>
      </x:c>
      <x:c r="X42" s="38" t="n">
        <x:v>1014484</x:v>
      </x:c>
      <x:c r="Y42" t="str">
        <x:v>Paid</x:v>
      </x:c>
      <x:c r="Z42" s="38" t="n">
        <x:f>ROUND(L42*O42,2)</x:f>
        <x:v>1014484</x:v>
      </x:c>
      <x:c r="AA42" t="n">
        <x:f>IF(S42="","",S42-N42)</x:f>
        <x:v>13</x:v>
      </x:c>
      <x:c r="AB42" t="str">
        <x:f>IF(S42="","Open",IF(S42&lt;=R42,"On Time","Late"))</x:f>
        <x:v>On Time</x:v>
      </x:c>
      <x:c r="AC42" t="str">
        <x:f>IF(S42="","Open",IF(T42=L42,"Match","Mismatch"))</x:f>
        <x:v>Match</x:v>
      </x:c>
      <x:c r="AD42" t="str">
        <x:f>IF(V42="","Open",IF(ABS(X42-Z42)&lt;=1,"Match","Mismatch"))</x:f>
        <x:v>Match</x:v>
      </x:c>
      <x:c r="AE42" t="str">
        <x:f>IF(OR(AC42="Open",AD42="Open"),"Open",IF(AND(AC42="Match",AD42="Match",W42=T42),"Matched","Exception"))</x:f>
        <x:v>Matched</x:v>
      </x:c>
      <x:c r="AF42" s="40" t="n">
        <x:f>MAX(L42-T42,0)</x:f>
        <x:v>0</x:v>
      </x:c>
    </x:row>
    <x:row r="43">
      <x:c r="A43" t="str">
        <x:v>PR100042</x:v>
      </x:c>
      <x:c r="B43" s="36" t="n">
        <x:v>46077</x:v>
      </x:c>
      <x:c r="C43" t="str">
        <x:v>Operations</x:v>
      </x:c>
      <x:c r="D43" t="str">
        <x:v>PRJ-008</x:v>
      </x:c>
      <x:c r="E43" t="str">
        <x:v>MAT020</x:v>
      </x:c>
      <x:c r="F43" t="str">
        <x:v>Safety Shoes</x:v>
      </x:c>
      <x:c r="G43" t="str">
        <x:v>Safety</x:v>
      </x:c>
      <x:c r="H43" t="str">
        <x:v>PAIR</x:v>
      </x:c>
      <x:c r="I43" t="str">
        <x:v>SUP006</x:v>
      </x:c>
      <x:c r="J43" t="str">
        <x:v>SafeSite Industrial</x:v>
      </x:c>
      <x:c r="K43" t="str">
        <x:v>Karnataka</x:v>
      </x:c>
      <x:c r="L43" s="40" t="n">
        <x:v>20</x:v>
      </x:c>
      <x:c r="M43" t="str">
        <x:v>PO200042</x:v>
      </x:c>
      <x:c r="N43" s="36" t="n">
        <x:v>46078</x:v>
      </x:c>
      <x:c r="O43" s="38" t="n">
        <x:v>1374.99</x:v>
      </x:c>
      <x:c r="P43" t="str">
        <x:v>30 Days</x:v>
      </x:c>
      <x:c r="Q43" t="str">
        <x:v>S. Kumar</x:v>
      </x:c>
      <x:c r="R43" s="36" t="n">
        <x:v>46086</x:v>
      </x:c>
      <x:c r="S43" s="36" t="n">
        <x:v>46087</x:v>
      </x:c>
      <x:c r="T43" s="40" t="n">
        <x:v>20</x:v>
      </x:c>
      <x:c r="U43" t="str">
        <x:v>INV300042</x:v>
      </x:c>
      <x:c r="V43" s="36" t="n">
        <x:v>46093</x:v>
      </x:c>
      <x:c r="W43" s="40" t="n">
        <x:v>20</x:v>
      </x:c>
      <x:c r="X43" s="38" t="n">
        <x:v>27499.8</x:v>
      </x:c>
      <x:c r="Y43" t="str">
        <x:v>Paid</x:v>
      </x:c>
      <x:c r="Z43" s="38" t="n">
        <x:f>ROUND(L43*O43,2)</x:f>
        <x:v>27499.8</x:v>
      </x:c>
      <x:c r="AA43" t="n">
        <x:f>IF(S43="","",S43-N43)</x:f>
        <x:v>9</x:v>
      </x:c>
      <x:c r="AB43" t="str">
        <x:f>IF(S43="","Open",IF(S43&lt;=R43,"On Time","Late"))</x:f>
        <x:v>Late</x:v>
      </x:c>
      <x:c r="AC43" t="str">
        <x:f>IF(S43="","Open",IF(T43=L43,"Match","Mismatch"))</x:f>
        <x:v>Match</x:v>
      </x:c>
      <x:c r="AD43" t="str">
        <x:f>IF(V43="","Open",IF(ABS(X43-Z43)&lt;=1,"Match","Mismatch"))</x:f>
        <x:v>Match</x:v>
      </x:c>
      <x:c r="AE43" t="str">
        <x:f>IF(OR(AC43="Open",AD43="Open"),"Open",IF(AND(AC43="Match",AD43="Match",W43=T43),"Matched","Exception"))</x:f>
        <x:v>Matched</x:v>
      </x:c>
      <x:c r="AF43" s="40" t="n">
        <x:f>MAX(L43-T43,0)</x:f>
        <x:v>0</x:v>
      </x:c>
    </x:row>
    <x:row r="44">
      <x:c r="A44" t="str">
        <x:v>PR100043</x:v>
      </x:c>
      <x:c r="B44" s="36" t="n">
        <x:v>46244</x:v>
      </x:c>
      <x:c r="C44" t="str">
        <x:v>Civil Projects</x:v>
      </x:c>
      <x:c r="D44" t="str">
        <x:v>PRJ-008</x:v>
      </x:c>
      <x:c r="E44" t="str">
        <x:v>MAT017</x:v>
      </x:c>
      <x:c r="F44" t="str">
        <x:v>LED Flood Light 100W</x:v>
      </x:c>
      <x:c r="G44" t="str">
        <x:v>Electrical</x:v>
      </x:c>
      <x:c r="H44" t="str">
        <x:v>EA</x:v>
      </x:c>
      <x:c r="I44" t="str">
        <x:v>SUP004</x:v>
      </x:c>
      <x:c r="J44" t="str">
        <x:v>Southline Electricals</x:v>
      </x:c>
      <x:c r="K44" t="str">
        <x:v>Telangana</x:v>
      </x:c>
      <x:c r="L44" s="40" t="n">
        <x:v>25</x:v>
      </x:c>
      <x:c r="M44" t="str">
        <x:v>PO200043</x:v>
      </x:c>
      <x:c r="N44" s="36" t="n">
        <x:v>46247</x:v>
      </x:c>
      <x:c r="O44" s="38" t="n">
        <x:v>3088.02</x:v>
      </x:c>
      <x:c r="P44" t="str">
        <x:v>60 Days</x:v>
      </x:c>
      <x:c r="Q44" t="str">
        <x:v>M. Priya</x:v>
      </x:c>
      <x:c r="R44" s="36" t="n">
        <x:v>46254</x:v>
      </x:c>
      <x:c r="S44" s="36" t="n">
        <x:v>46257</x:v>
      </x:c>
      <x:c r="T44" s="40" t="n">
        <x:v>25</x:v>
      </x:c>
      <x:c r="U44" t="str">
        <x:v>INV300043</x:v>
      </x:c>
      <x:c r="V44" s="36" t="n">
        <x:v>46262</x:v>
      </x:c>
      <x:c r="W44" s="40" t="n">
        <x:v>25</x:v>
      </x:c>
      <x:c r="X44" s="38" t="n">
        <x:v>77200.5</x:v>
      </x:c>
      <x:c r="Y44" t="str">
        <x:v>Paid</x:v>
      </x:c>
      <x:c r="Z44" s="38" t="n">
        <x:f>ROUND(L44*O44,2)</x:f>
        <x:v>77200.5</x:v>
      </x:c>
      <x:c r="AA44" t="n">
        <x:f>IF(S44="","",S44-N44)</x:f>
        <x:v>10</x:v>
      </x:c>
      <x:c r="AB44" t="str">
        <x:f>IF(S44="","Open",IF(S44&lt;=R44,"On Time","Late"))</x:f>
        <x:v>Late</x:v>
      </x:c>
      <x:c r="AC44" t="str">
        <x:f>IF(S44="","Open",IF(T44=L44,"Match","Mismatch"))</x:f>
        <x:v>Match</x:v>
      </x:c>
      <x:c r="AD44" t="str">
        <x:f>IF(V44="","Open",IF(ABS(X44-Z44)&lt;=1,"Match","Mismatch"))</x:f>
        <x:v>Match</x:v>
      </x:c>
      <x:c r="AE44" t="str">
        <x:f>IF(OR(AC44="Open",AD44="Open"),"Open",IF(AND(AC44="Match",AD44="Match",W44=T44),"Matched","Exception"))</x:f>
        <x:v>Matched</x:v>
      </x:c>
      <x:c r="AF44" s="40" t="n">
        <x:f>MAX(L44-T44,0)</x:f>
        <x:v>0</x:v>
      </x:c>
    </x:row>
    <x:row r="45">
      <x:c r="A45" t="str">
        <x:v>PR100044</x:v>
      </x:c>
      <x:c r="B45" s="36" t="n">
        <x:v>46283</x:v>
      </x:c>
      <x:c r="C45" t="str">
        <x:v>Operations</x:v>
      </x:c>
      <x:c r="D45" t="str">
        <x:v>PRJ-001</x:v>
      </x:c>
      <x:c r="E45" t="str">
        <x:v>MAT026</x:v>
      </x:c>
      <x:c r="F45" t="str">
        <x:v>MS Scaffolding Pipe</x:v>
      </x:c>
      <x:c r="G45" t="str">
        <x:v>Formwork</x:v>
      </x:c>
      <x:c r="H45" t="str">
        <x:v>M</x:v>
      </x:c>
      <x:c r="I45" t="str">
        <x:v>SUP012</x:v>
      </x:c>
      <x:c r="J45" t="str">
        <x:v>GreenField Construction Supply</x:v>
      </x:c>
      <x:c r="K45" t="str">
        <x:v>Telangana</x:v>
      </x:c>
      <x:c r="L45" s="40" t="n">
        <x:v>2000</x:v>
      </x:c>
      <x:c r="M45" t="str">
        <x:v>PO200044</x:v>
      </x:c>
      <x:c r="N45" s="36" t="n">
        <x:v>46288</x:v>
      </x:c>
      <x:c r="O45" s="38" t="n">
        <x:v>565.58</x:v>
      </x:c>
      <x:c r="P45" t="str">
        <x:v>30 Days</x:v>
      </x:c>
      <x:c r="Q45" t="str">
        <x:v>R. Sharma</x:v>
      </x:c>
      <x:c r="R45" s="36" t="n">
        <x:v>46293</x:v>
      </x:c>
      <x:c r="S45" s="36" t="n">
        <x:v>46291</x:v>
      </x:c>
      <x:c r="T45" s="40" t="n">
        <x:v>1998</x:v>
      </x:c>
      <x:c r="U45" t="str">
        <x:v>INV300044</x:v>
      </x:c>
      <x:c r="V45" s="36" t="n">
        <x:v>46297</x:v>
      </x:c>
      <x:c r="W45" s="40" t="n">
        <x:v>1998</x:v>
      </x:c>
      <x:c r="X45" s="38" t="n">
        <x:v>1131160</x:v>
      </x:c>
      <x:c r="Y45" t="str">
        <x:v>Blocked for Review</x:v>
      </x:c>
      <x:c r="Z45" s="38" t="n">
        <x:f>ROUND(L45*O45,2)</x:f>
        <x:v>1131160</x:v>
      </x:c>
      <x:c r="AA45" t="n">
        <x:f>IF(S45="","",S45-N45)</x:f>
        <x:v>3</x:v>
      </x:c>
      <x:c r="AB45" t="str">
        <x:f>IF(S45="","Open",IF(S45&lt;=R45,"On Time","Late"))</x:f>
        <x:v>On Time</x:v>
      </x:c>
      <x:c r="AC45" t="str">
        <x:f>IF(S45="","Open",IF(T45=L45,"Match","Mismatch"))</x:f>
        <x:v>Mismatch</x:v>
      </x:c>
      <x:c r="AD45" t="str">
        <x:f>IF(V45="","Open",IF(ABS(X45-Z45)&lt;=1,"Match","Mismatch"))</x:f>
        <x:v>Match</x:v>
      </x:c>
      <x:c r="AE45" t="str">
        <x:f>IF(OR(AC45="Open",AD45="Open"),"Open",IF(AND(AC45="Match",AD45="Match",W45=T45),"Matched","Exception"))</x:f>
        <x:v>Exception</x:v>
      </x:c>
      <x:c r="AF45" s="40" t="n">
        <x:f>MAX(L45-T45,0)</x:f>
        <x:v>2</x:v>
      </x:c>
    </x:row>
    <x:row r="46">
      <x:c r="A46" t="str">
        <x:v>PR100045</x:v>
      </x:c>
      <x:c r="B46" s="36" t="n">
        <x:v>46169</x:v>
      </x:c>
      <x:c r="C46" t="str">
        <x:v>Maintenance</x:v>
      </x:c>
      <x:c r="D46" t="str">
        <x:v>PRJ-001</x:v>
      </x:c>
      <x:c r="E46" t="str">
        <x:v>MAT034</x:v>
      </x:c>
      <x:c r="F46" t="str">
        <x:v>Industrial Adhesive</x:v>
      </x:c>
      <x:c r="G46" t="str">
        <x:v>Consumables</x:v>
      </x:c>
      <x:c r="H46" t="str">
        <x:v>KG</x:v>
      </x:c>
      <x:c r="I46" t="str">
        <x:v>SUP009</x:v>
      </x:c>
      <x:c r="J46" t="str">
        <x:v>Nava Bharat Hardware</x:v>
      </x:c>
      <x:c r="K46" t="str">
        <x:v>Andhra Pradesh</x:v>
      </x:c>
      <x:c r="L46" s="40" t="n">
        <x:v>1000</x:v>
      </x:c>
      <x:c r="M46" t="str">
        <x:v>PO200045</x:v>
      </x:c>
      <x:c r="N46" s="36" t="n">
        <x:v>46172</x:v>
      </x:c>
      <x:c r="O46" s="38" t="n">
        <x:v>459.66</x:v>
      </x:c>
      <x:c r="P46" t="str">
        <x:v>45 Days</x:v>
      </x:c>
      <x:c r="Q46" t="str">
        <x:v>A. Reddy</x:v>
      </x:c>
      <x:c r="R46" s="36" t="n">
        <x:v>46182</x:v>
      </x:c>
      <x:c r="S46" s="36" t="n">
        <x:v>46180</x:v>
      </x:c>
      <x:c r="T46" s="40" t="n">
        <x:v>1000</x:v>
      </x:c>
      <x:c r="U46" t="str">
        <x:v>INV300045</x:v>
      </x:c>
      <x:c r="V46" s="36" t="n">
        <x:v>46187</x:v>
      </x:c>
      <x:c r="W46" s="40" t="n">
        <x:v>1000</x:v>
      </x:c>
      <x:c r="X46" s="38" t="n">
        <x:v>459660</x:v>
      </x:c>
      <x:c r="Y46" t="str">
        <x:v>Paid</x:v>
      </x:c>
      <x:c r="Z46" s="38" t="n">
        <x:f>ROUND(L46*O46,2)</x:f>
        <x:v>459660</x:v>
      </x:c>
      <x:c r="AA46" t="n">
        <x:f>IF(S46="","",S46-N46)</x:f>
        <x:v>8</x:v>
      </x:c>
      <x:c r="AB46" t="str">
        <x:f>IF(S46="","Open",IF(S46&lt;=R46,"On Time","Late"))</x:f>
        <x:v>On Time</x:v>
      </x:c>
      <x:c r="AC46" t="str">
        <x:f>IF(S46="","Open",IF(T46=L46,"Match","Mismatch"))</x:f>
        <x:v>Match</x:v>
      </x:c>
      <x:c r="AD46" t="str">
        <x:f>IF(V46="","Open",IF(ABS(X46-Z46)&lt;=1,"Match","Mismatch"))</x:f>
        <x:v>Match</x:v>
      </x:c>
      <x:c r="AE46" t="str">
        <x:f>IF(OR(AC46="Open",AD46="Open"),"Open",IF(AND(AC46="Match",AD46="Match",W46=T46),"Matched","Exception"))</x:f>
        <x:v>Matched</x:v>
      </x:c>
      <x:c r="AF46" s="40" t="n">
        <x:f>MAX(L46-T46,0)</x:f>
        <x:v>0</x:v>
      </x:c>
    </x:row>
    <x:row r="47">
      <x:c r="A47" t="str">
        <x:v>PR100046</x:v>
      </x:c>
      <x:c r="B47" s="36" t="n">
        <x:v>46192</x:v>
      </x:c>
      <x:c r="C47" t="str">
        <x:v>Maintenance</x:v>
      </x:c>
      <x:c r="D47" t="str">
        <x:v>PRJ-007</x:v>
      </x:c>
      <x:c r="E47" t="str">
        <x:v>MAT021</x:v>
      </x:c>
      <x:c r="F47" t="str">
        <x:v>Angle Grinder 100mm</x:v>
      </x:c>
      <x:c r="G47" t="str">
        <x:v>Tools</x:v>
      </x:c>
      <x:c r="H47" t="str">
        <x:v>EA</x:v>
      </x:c>
      <x:c r="I47" t="str">
        <x:v>SUP009</x:v>
      </x:c>
      <x:c r="J47" t="str">
        <x:v>Nava Bharat Hardware</x:v>
      </x:c>
      <x:c r="K47" t="str">
        <x:v>Andhra Pradesh</x:v>
      </x:c>
      <x:c r="L47" s="40" t="n">
        <x:v>150</x:v>
      </x:c>
      <x:c r="M47" t="str">
        <x:v>PO200046</x:v>
      </x:c>
      <x:c r="N47" s="36" t="n">
        <x:v>46194</x:v>
      </x:c>
      <x:c r="O47" s="38" t="n">
        <x:v>3472.58</x:v>
      </x:c>
      <x:c r="P47" t="str">
        <x:v>30 Days</x:v>
      </x:c>
      <x:c r="Q47" t="str">
        <x:v>S. Kumar</x:v>
      </x:c>
      <x:c r="R47" s="36" t="n">
        <x:v>46211</x:v>
      </x:c>
      <x:c r="S47" s="36"/>
      <x:c r="T47" s="40" t="n">
        <x:v>0</x:v>
      </x:c>
      <x:c r="U47" t="str"/>
      <x:c r="V47" s="36"/>
      <x:c r="W47" s="40" t="n">
        <x:v>0</x:v>
      </x:c>
      <x:c r="X47" s="38" t="str"/>
      <x:c r="Y47" t="str">
        <x:v>Open PO</x:v>
      </x:c>
      <x:c r="Z47" s="38" t="n">
        <x:f>ROUND(L47*O47,2)</x:f>
        <x:v>520887</x:v>
      </x:c>
      <x:c r="AA47" t="str">
        <x:f>IF(S47="","",S47-N47)</x:f>
      </x:c>
      <x:c r="AB47" t="str">
        <x:f>IF(S47="","Open",IF(S47&lt;=R47,"On Time","Late"))</x:f>
        <x:v>Open</x:v>
      </x:c>
      <x:c r="AC47" t="str">
        <x:f>IF(S47="","Open",IF(T47=L47,"Match","Mismatch"))</x:f>
        <x:v>Open</x:v>
      </x:c>
      <x:c r="AD47" t="str">
        <x:f>IF(V47="","Open",IF(ABS(X47-Z47)&lt;=1,"Match","Mismatch"))</x:f>
        <x:v>Open</x:v>
      </x:c>
      <x:c r="AE47" t="str">
        <x:f>IF(OR(AC47="Open",AD47="Open"),"Open",IF(AND(AC47="Match",AD47="Match",W47=T47),"Matched","Exception"))</x:f>
        <x:v>Open</x:v>
      </x:c>
      <x:c r="AF47" s="40" t="n">
        <x:f>MAX(L47-T47,0)</x:f>
        <x:v>150</x:v>
      </x:c>
    </x:row>
    <x:row r="48">
      <x:c r="A48" t="str">
        <x:v>PR100047</x:v>
      </x:c>
      <x:c r="B48" s="36" t="n">
        <x:v>46282</x:v>
      </x:c>
      <x:c r="C48" t="str">
        <x:v>Civil Projects</x:v>
      </x:c>
      <x:c r="D48" t="str">
        <x:v>PRJ-007</x:v>
      </x:c>
      <x:c r="E48" t="str">
        <x:v>MAT034</x:v>
      </x:c>
      <x:c r="F48" t="str">
        <x:v>Industrial Adhesive</x:v>
      </x:c>
      <x:c r="G48" t="str">
        <x:v>Consumables</x:v>
      </x:c>
      <x:c r="H48" t="str">
        <x:v>KG</x:v>
      </x:c>
      <x:c r="I48" t="str">
        <x:v>SUP009</x:v>
      </x:c>
      <x:c r="J48" t="str">
        <x:v>Nava Bharat Hardware</x:v>
      </x:c>
      <x:c r="K48" t="str">
        <x:v>Andhra Pradesh</x:v>
      </x:c>
      <x:c r="L48" s="40" t="n">
        <x:v>300</x:v>
      </x:c>
      <x:c r="M48" t="str">
        <x:v>PO200047</x:v>
      </x:c>
      <x:c r="N48" s="36" t="n">
        <x:v>46286</x:v>
      </x:c>
      <x:c r="O48" s="38" t="n">
        <x:v>427.92</x:v>
      </x:c>
      <x:c r="P48" t="str">
        <x:v>30 Days</x:v>
      </x:c>
      <x:c r="Q48" t="str">
        <x:v>S. Kumar</x:v>
      </x:c>
      <x:c r="R48" s="36" t="n">
        <x:v>46293</x:v>
      </x:c>
      <x:c r="S48" s="36" t="n">
        <x:v>46290</x:v>
      </x:c>
      <x:c r="T48" s="40" t="n">
        <x:v>300</x:v>
      </x:c>
      <x:c r="U48" t="str">
        <x:v>INV300047</x:v>
      </x:c>
      <x:c r="V48" s="36" t="n">
        <x:v>46296</x:v>
      </x:c>
      <x:c r="W48" s="40" t="n">
        <x:v>300</x:v>
      </x:c>
      <x:c r="X48" s="38" t="n">
        <x:v>128376</x:v>
      </x:c>
      <x:c r="Y48" t="str">
        <x:v>Paid</x:v>
      </x:c>
      <x:c r="Z48" s="38" t="n">
        <x:f>ROUND(L48*O48,2)</x:f>
        <x:v>128376</x:v>
      </x:c>
      <x:c r="AA48" t="n">
        <x:f>IF(S48="","",S48-N48)</x:f>
        <x:v>4</x:v>
      </x:c>
      <x:c r="AB48" t="str">
        <x:f>IF(S48="","Open",IF(S48&lt;=R48,"On Time","Late"))</x:f>
        <x:v>On Time</x:v>
      </x:c>
      <x:c r="AC48" t="str">
        <x:f>IF(S48="","Open",IF(T48=L48,"Match","Mismatch"))</x:f>
        <x:v>Match</x:v>
      </x:c>
      <x:c r="AD48" t="str">
        <x:f>IF(V48="","Open",IF(ABS(X48-Z48)&lt;=1,"Match","Mismatch"))</x:f>
        <x:v>Match</x:v>
      </x:c>
      <x:c r="AE48" t="str">
        <x:f>IF(OR(AC48="Open",AD48="Open"),"Open",IF(AND(AC48="Match",AD48="Match",W48=T48),"Matched","Exception"))</x:f>
        <x:v>Matched</x:v>
      </x:c>
      <x:c r="AF48" s="40" t="n">
        <x:f>MAX(L48-T48,0)</x:f>
        <x:v>0</x:v>
      </x:c>
    </x:row>
    <x:row r="49">
      <x:c r="A49" t="str">
        <x:v>PR100048</x:v>
      </x:c>
      <x:c r="B49" s="36" t="n">
        <x:v>46087</x:v>
      </x:c>
      <x:c r="C49" t="str">
        <x:v>Facilities</x:v>
      </x:c>
      <x:c r="D49" t="str">
        <x:v>PRJ-002</x:v>
      </x:c>
      <x:c r="E49" t="str">
        <x:v>MAT008</x:v>
      </x:c>
      <x:c r="F49" t="str">
        <x:v>20mm Aggregate</x:v>
      </x:c>
      <x:c r="G49" t="str">
        <x:v>Aggregates</x:v>
      </x:c>
      <x:c r="H49" t="str">
        <x:v>TON</x:v>
      </x:c>
      <x:c r="I49" t="str">
        <x:v>SUP012</x:v>
      </x:c>
      <x:c r="J49" t="str">
        <x:v>GreenField Construction Supply</x:v>
      </x:c>
      <x:c r="K49" t="str">
        <x:v>Telangana</x:v>
      </x:c>
      <x:c r="L49" s="40" t="n">
        <x:v>15</x:v>
      </x:c>
      <x:c r="M49" t="str">
        <x:v>PO200048</x:v>
      </x:c>
      <x:c r="N49" s="36" t="n">
        <x:v>46089</x:v>
      </x:c>
      <x:c r="O49" s="38" t="n">
        <x:v>1264.5</x:v>
      </x:c>
      <x:c r="P49" t="str">
        <x:v>45 Days</x:v>
      </x:c>
      <x:c r="Q49" t="str">
        <x:v>R. Sharma</x:v>
      </x:c>
      <x:c r="R49" s="36" t="n">
        <x:v>46107</x:v>
      </x:c>
      <x:c r="S49" s="36" t="n">
        <x:v>46104</x:v>
      </x:c>
      <x:c r="T49" s="40" t="n">
        <x:v>15</x:v>
      </x:c>
      <x:c r="U49" t="str">
        <x:v>INV300048</x:v>
      </x:c>
      <x:c r="V49" s="36" t="n">
        <x:v>46109</x:v>
      </x:c>
      <x:c r="W49" s="40" t="n">
        <x:v>15</x:v>
      </x:c>
      <x:c r="X49" s="38" t="n">
        <x:v>18967.5</x:v>
      </x:c>
      <x:c r="Y49" t="str">
        <x:v>Paid</x:v>
      </x:c>
      <x:c r="Z49" s="38" t="n">
        <x:f>ROUND(L49*O49,2)</x:f>
        <x:v>18967.5</x:v>
      </x:c>
      <x:c r="AA49" t="n">
        <x:f>IF(S49="","",S49-N49)</x:f>
        <x:v>15</x:v>
      </x:c>
      <x:c r="AB49" t="str">
        <x:f>IF(S49="","Open",IF(S49&lt;=R49,"On Time","Late"))</x:f>
        <x:v>On Time</x:v>
      </x:c>
      <x:c r="AC49" t="str">
        <x:f>IF(S49="","Open",IF(T49=L49,"Match","Mismatch"))</x:f>
        <x:v>Match</x:v>
      </x:c>
      <x:c r="AD49" t="str">
        <x:f>IF(V49="","Open",IF(ABS(X49-Z49)&lt;=1,"Match","Mismatch"))</x:f>
        <x:v>Match</x:v>
      </x:c>
      <x:c r="AE49" t="str">
        <x:f>IF(OR(AC49="Open",AD49="Open"),"Open",IF(AND(AC49="Match",AD49="Match",W49=T49),"Matched","Exception"))</x:f>
        <x:v>Matched</x:v>
      </x:c>
      <x:c r="AF49" s="40" t="n">
        <x:f>MAX(L49-T49,0)</x:f>
        <x:v>0</x:v>
      </x:c>
    </x:row>
    <x:row r="50">
      <x:c r="A50" t="str">
        <x:v>PR100049</x:v>
      </x:c>
      <x:c r="B50" s="36" t="n">
        <x:v>46028</x:v>
      </x:c>
      <x:c r="C50" t="str">
        <x:v>Operations</x:v>
      </x:c>
      <x:c r="D50" t="str">
        <x:v>PRJ-004</x:v>
      </x:c>
      <x:c r="E50" t="str">
        <x:v>MAT022</x:v>
      </x:c>
      <x:c r="F50" t="str">
        <x:v>Hammer Drill</x:v>
      </x:c>
      <x:c r="G50" t="str">
        <x:v>Tools</x:v>
      </x:c>
      <x:c r="H50" t="str">
        <x:v>EA</x:v>
      </x:c>
      <x:c r="I50" t="str">
        <x:v>SUP009</x:v>
      </x:c>
      <x:c r="J50" t="str">
        <x:v>Nava Bharat Hardware</x:v>
      </x:c>
      <x:c r="K50" t="str">
        <x:v>Andhra Pradesh</x:v>
      </x:c>
      <x:c r="L50" s="40" t="n">
        <x:v>200</x:v>
      </x:c>
      <x:c r="M50" t="str">
        <x:v>PO200049</x:v>
      </x:c>
      <x:c r="N50" s="36" t="n">
        <x:v>46031</x:v>
      </x:c>
      <x:c r="O50" s="38" t="n">
        <x:v>6965.83</x:v>
      </x:c>
      <x:c r="P50" t="str">
        <x:v>60 Days</x:v>
      </x:c>
      <x:c r="Q50" t="str">
        <x:v>S. Kumar</x:v>
      </x:c>
      <x:c r="R50" s="36" t="n">
        <x:v>46048</x:v>
      </x:c>
      <x:c r="S50" s="36" t="n">
        <x:v>46045</x:v>
      </x:c>
      <x:c r="T50" s="40" t="n">
        <x:v>200</x:v>
      </x:c>
      <x:c r="U50" t="str">
        <x:v>INV300049</x:v>
      </x:c>
      <x:c r="V50" s="36" t="n">
        <x:v>46048</x:v>
      </x:c>
      <x:c r="W50" s="40" t="n">
        <x:v>200</x:v>
      </x:c>
      <x:c r="X50" s="38" t="n">
        <x:v>1393166</x:v>
      </x:c>
      <x:c r="Y50" t="str">
        <x:v>Paid</x:v>
      </x:c>
      <x:c r="Z50" s="38" t="n">
        <x:f>ROUND(L50*O50,2)</x:f>
        <x:v>1393166</x:v>
      </x:c>
      <x:c r="AA50" t="n">
        <x:f>IF(S50="","",S50-N50)</x:f>
        <x:v>14</x:v>
      </x:c>
      <x:c r="AB50" t="str">
        <x:f>IF(S50="","Open",IF(S50&lt;=R50,"On Time","Late"))</x:f>
        <x:v>On Time</x:v>
      </x:c>
      <x:c r="AC50" t="str">
        <x:f>IF(S50="","Open",IF(T50=L50,"Match","Mismatch"))</x:f>
        <x:v>Match</x:v>
      </x:c>
      <x:c r="AD50" t="str">
        <x:f>IF(V50="","Open",IF(ABS(X50-Z50)&lt;=1,"Match","Mismatch"))</x:f>
        <x:v>Match</x:v>
      </x:c>
      <x:c r="AE50" t="str">
        <x:f>IF(OR(AC50="Open",AD50="Open"),"Open",IF(AND(AC50="Match",AD50="Match",W50=T50),"Matched","Exception"))</x:f>
        <x:v>Matched</x:v>
      </x:c>
      <x:c r="AF50" s="40" t="n">
        <x:f>MAX(L50-T50,0)</x:f>
        <x:v>0</x:v>
      </x:c>
    </x:row>
    <x:row r="51">
      <x:c r="A51" t="str">
        <x:v>PR100050</x:v>
      </x:c>
      <x:c r="B51" s="36" t="n">
        <x:v>46146</x:v>
      </x:c>
      <x:c r="C51" t="str">
        <x:v>Civil Projects</x:v>
      </x:c>
      <x:c r="D51" t="str">
        <x:v>PRJ-008</x:v>
      </x:c>
      <x:c r="E51" t="str">
        <x:v>MAT037</x:v>
      </x:c>
      <x:c r="F51" t="str">
        <x:v>Anchor Bolt M16</x:v>
      </x:c>
      <x:c r="G51" t="str">
        <x:v>Hardware</x:v>
      </x:c>
      <x:c r="H51" t="str">
        <x:v>EA</x:v>
      </x:c>
      <x:c r="I51" t="str">
        <x:v>SUP011</x:v>
      </x:c>
      <x:c r="J51" t="str">
        <x:v>Vertex Industrial Supply</x:v>
      </x:c>
      <x:c r="K51" t="str">
        <x:v>Maharashtra</x:v>
      </x:c>
      <x:c r="L51" s="40" t="n">
        <x:v>100</x:v>
      </x:c>
      <x:c r="M51" t="str">
        <x:v>PO200050</x:v>
      </x:c>
      <x:c r="N51" s="36" t="n">
        <x:v>46149</x:v>
      </x:c>
      <x:c r="O51" s="38" t="n">
        <x:v>99.46</x:v>
      </x:c>
      <x:c r="P51" t="str">
        <x:v>30 Days</x:v>
      </x:c>
      <x:c r="Q51" t="str">
        <x:v>R. Sharma</x:v>
      </x:c>
      <x:c r="R51" s="36" t="n">
        <x:v>46158</x:v>
      </x:c>
      <x:c r="S51" s="36" t="n">
        <x:v>46157</x:v>
      </x:c>
      <x:c r="T51" s="40" t="n">
        <x:v>100</x:v>
      </x:c>
      <x:c r="U51" t="str">
        <x:v>INV300050</x:v>
      </x:c>
      <x:c r="V51" s="36" t="n">
        <x:v>46158</x:v>
      </x:c>
      <x:c r="W51" s="40" t="n">
        <x:v>100</x:v>
      </x:c>
      <x:c r="X51" s="38" t="n">
        <x:v>9946</x:v>
      </x:c>
      <x:c r="Y51" t="str">
        <x:v>Paid</x:v>
      </x:c>
      <x:c r="Z51" s="38" t="n">
        <x:f>ROUND(L51*O51,2)</x:f>
        <x:v>9946</x:v>
      </x:c>
      <x:c r="AA51" t="n">
        <x:f>IF(S51="","",S51-N51)</x:f>
        <x:v>8</x:v>
      </x:c>
      <x:c r="AB51" t="str">
        <x:f>IF(S51="","Open",IF(S51&lt;=R51,"On Time","Late"))</x:f>
        <x:v>On Time</x:v>
      </x:c>
      <x:c r="AC51" t="str">
        <x:f>IF(S51="","Open",IF(T51=L51,"Match","Mismatch"))</x:f>
        <x:v>Match</x:v>
      </x:c>
      <x:c r="AD51" t="str">
        <x:f>IF(V51="","Open",IF(ABS(X51-Z51)&lt;=1,"Match","Mismatch"))</x:f>
        <x:v>Match</x:v>
      </x:c>
      <x:c r="AE51" t="str">
        <x:f>IF(OR(AC51="Open",AD51="Open"),"Open",IF(AND(AC51="Match",AD51="Match",W51=T51),"Matched","Exception"))</x:f>
        <x:v>Matched</x:v>
      </x:c>
      <x:c r="AF51" s="40" t="n">
        <x:f>MAX(L51-T51,0)</x:f>
        <x:v>0</x:v>
      </x:c>
    </x:row>
    <x:row r="52">
      <x:c r="A52" t="str">
        <x:v>PR100051</x:v>
      </x:c>
      <x:c r="B52" s="36" t="n">
        <x:v>46100</x:v>
      </x:c>
      <x:c r="C52" t="str">
        <x:v>Operations</x:v>
      </x:c>
      <x:c r="D52" t="str">
        <x:v>PRJ-008</x:v>
      </x:c>
      <x:c r="E52" t="str">
        <x:v>MAT001</x:v>
      </x:c>
      <x:c r="F52" t="str">
        <x:v>OPC Cement 50kg</x:v>
      </x:c>
      <x:c r="G52" t="str">
        <x:v>Cement &amp; Concrete</x:v>
      </x:c>
      <x:c r="H52" t="str">
        <x:v>BAG</x:v>
      </x:c>
      <x:c r="I52" t="str">
        <x:v>SUP012</x:v>
      </x:c>
      <x:c r="J52" t="str">
        <x:v>GreenField Construction Supply</x:v>
      </x:c>
      <x:c r="K52" t="str">
        <x:v>Telangana</x:v>
      </x:c>
      <x:c r="L52" s="40" t="n">
        <x:v>100</x:v>
      </x:c>
      <x:c r="M52" t="str">
        <x:v>PO200051</x:v>
      </x:c>
      <x:c r="N52" s="36" t="n">
        <x:v>46103</x:v>
      </x:c>
      <x:c r="O52" s="38" t="n">
        <x:v>387.15</x:v>
      </x:c>
      <x:c r="P52" t="str">
        <x:v>60 Days</x:v>
      </x:c>
      <x:c r="Q52" t="str">
        <x:v>A. Reddy</x:v>
      </x:c>
      <x:c r="R52" s="36" t="n">
        <x:v>46108</x:v>
      </x:c>
      <x:c r="S52" s="36" t="n">
        <x:v>46105</x:v>
      </x:c>
      <x:c r="T52" s="40" t="n">
        <x:v>100</x:v>
      </x:c>
      <x:c r="U52" t="str">
        <x:v>INV300051</x:v>
      </x:c>
      <x:c r="V52" s="36" t="n">
        <x:v>46112</x:v>
      </x:c>
      <x:c r="W52" s="40" t="n">
        <x:v>100</x:v>
      </x:c>
      <x:c r="X52" s="38" t="n">
        <x:v>38715</x:v>
      </x:c>
      <x:c r="Y52" t="str">
        <x:v>Paid</x:v>
      </x:c>
      <x:c r="Z52" s="38" t="n">
        <x:f>ROUND(L52*O52,2)</x:f>
        <x:v>38715</x:v>
      </x:c>
      <x:c r="AA52" t="n">
        <x:f>IF(S52="","",S52-N52)</x:f>
        <x:v>2</x:v>
      </x:c>
      <x:c r="AB52" t="str">
        <x:f>IF(S52="","Open",IF(S52&lt;=R52,"On Time","Late"))</x:f>
        <x:v>On Time</x:v>
      </x:c>
      <x:c r="AC52" t="str">
        <x:f>IF(S52="","Open",IF(T52=L52,"Match","Mismatch"))</x:f>
        <x:v>Match</x:v>
      </x:c>
      <x:c r="AD52" t="str">
        <x:f>IF(V52="","Open",IF(ABS(X52-Z52)&lt;=1,"Match","Mismatch"))</x:f>
        <x:v>Match</x:v>
      </x:c>
      <x:c r="AE52" t="str">
        <x:f>IF(OR(AC52="Open",AD52="Open"),"Open",IF(AND(AC52="Match",AD52="Match",W52=T52),"Matched","Exception"))</x:f>
        <x:v>Matched</x:v>
      </x:c>
      <x:c r="AF52" s="40" t="n">
        <x:f>MAX(L52-T52,0)</x:f>
        <x:v>0</x:v>
      </x:c>
    </x:row>
    <x:row r="53">
      <x:c r="A53" t="str">
        <x:v>PR100052</x:v>
      </x:c>
      <x:c r="B53" s="36" t="n">
        <x:v>46147</x:v>
      </x:c>
      <x:c r="C53" t="str">
        <x:v>Operations</x:v>
      </x:c>
      <x:c r="D53" t="str">
        <x:v>PRJ-006</x:v>
      </x:c>
      <x:c r="E53" t="str">
        <x:v>MAT040</x:v>
      </x:c>
      <x:c r="F53" t="str">
        <x:v>SS Fastener Set</x:v>
      </x:c>
      <x:c r="G53" t="str">
        <x:v>Hardware</x:v>
      </x:c>
      <x:c r="H53" t="str">
        <x:v>SET</x:v>
      </x:c>
      <x:c r="I53" t="str">
        <x:v>SUP009</x:v>
      </x:c>
      <x:c r="J53" t="str">
        <x:v>Nava Bharat Hardware</x:v>
      </x:c>
      <x:c r="K53" t="str">
        <x:v>Andhra Pradesh</x:v>
      </x:c>
      <x:c r="L53" s="40" t="n">
        <x:v>20</x:v>
      </x:c>
      <x:c r="M53" t="str">
        <x:v>PO200052</x:v>
      </x:c>
      <x:c r="N53" s="36" t="n">
        <x:v>46149</x:v>
      </x:c>
      <x:c r="O53" s="38" t="n">
        <x:v>124.76</x:v>
      </x:c>
      <x:c r="P53" t="str">
        <x:v>45 Days</x:v>
      </x:c>
      <x:c r="Q53" t="str">
        <x:v>R. Sharma</x:v>
      </x:c>
      <x:c r="R53" s="36" t="n">
        <x:v>46164</x:v>
      </x:c>
      <x:c r="S53" s="36" t="n">
        <x:v>46164</x:v>
      </x:c>
      <x:c r="T53" s="40" t="n">
        <x:v>20</x:v>
      </x:c>
      <x:c r="U53" t="str">
        <x:v>INV300052</x:v>
      </x:c>
      <x:c r="V53" s="36" t="n">
        <x:v>46170</x:v>
      </x:c>
      <x:c r="W53" s="40" t="n">
        <x:v>20</x:v>
      </x:c>
      <x:c r="X53" s="38" t="n">
        <x:v>2545.1</x:v>
      </x:c>
      <x:c r="Y53" t="str">
        <x:v>Pending Approval</x:v>
      </x:c>
      <x:c r="Z53" s="38" t="n">
        <x:f>ROUND(L53*O53,2)</x:f>
        <x:v>2495.2</x:v>
      </x:c>
      <x:c r="AA53" t="n">
        <x:f>IF(S53="","",S53-N53)</x:f>
        <x:v>15</x:v>
      </x:c>
      <x:c r="AB53" t="str">
        <x:f>IF(S53="","Open",IF(S53&lt;=R53,"On Time","Late"))</x:f>
        <x:v>On Time</x:v>
      </x:c>
      <x:c r="AC53" t="str">
        <x:f>IF(S53="","Open",IF(T53=L53,"Match","Mismatch"))</x:f>
        <x:v>Match</x:v>
      </x:c>
      <x:c r="AD53" t="str">
        <x:f>IF(V53="","Open",IF(ABS(X53-Z53)&lt;=1,"Match","Mismatch"))</x:f>
        <x:v>Mismatch</x:v>
      </x:c>
      <x:c r="AE53" t="str">
        <x:f>IF(OR(AC53="Open",AD53="Open"),"Open",IF(AND(AC53="Match",AD53="Match",W53=T53),"Matched","Exception"))</x:f>
        <x:v>Exception</x:v>
      </x:c>
      <x:c r="AF53" s="40" t="n">
        <x:f>MAX(L53-T53,0)</x:f>
        <x:v>0</x:v>
      </x:c>
    </x:row>
    <x:row r="54">
      <x:c r="A54" t="str">
        <x:v>PR100053</x:v>
      </x:c>
      <x:c r="B54" s="36" t="n">
        <x:v>46237</x:v>
      </x:c>
      <x:c r="C54" t="str">
        <x:v>Civil Projects</x:v>
      </x:c>
      <x:c r="D54" t="str">
        <x:v>PRJ-008</x:v>
      </x:c>
      <x:c r="E54" t="str">
        <x:v>MAT010</x:v>
      </x:c>
      <x:c r="F54" t="str">
        <x:v>AAC Block 600x200x200</x:v>
      </x:c>
      <x:c r="G54" t="str">
        <x:v>Masonry</x:v>
      </x:c>
      <x:c r="H54" t="str">
        <x:v>EA</x:v>
      </x:c>
      <x:c r="I54" t="str">
        <x:v>SUP009</x:v>
      </x:c>
      <x:c r="J54" t="str">
        <x:v>Nava Bharat Hardware</x:v>
      </x:c>
      <x:c r="K54" t="str">
        <x:v>Andhra Pradesh</x:v>
      </x:c>
      <x:c r="L54" s="40" t="n">
        <x:v>20</x:v>
      </x:c>
      <x:c r="M54" t="str">
        <x:v>PO200053</x:v>
      </x:c>
      <x:c r="N54" s="36" t="n">
        <x:v>46238</x:v>
      </x:c>
      <x:c r="O54" s="38" t="n">
        <x:v>94.73</x:v>
      </x:c>
      <x:c r="P54" t="str">
        <x:v>45 Days</x:v>
      </x:c>
      <x:c r="Q54" t="str">
        <x:v>S. Kumar</x:v>
      </x:c>
      <x:c r="R54" s="36" t="n">
        <x:v>46244</x:v>
      </x:c>
      <x:c r="S54" s="36" t="n">
        <x:v>46241</x:v>
      </x:c>
      <x:c r="T54" s="40" t="n">
        <x:v>20</x:v>
      </x:c>
      <x:c r="U54" t="str">
        <x:v>INV300053</x:v>
      </x:c>
      <x:c r="V54" s="36" t="n">
        <x:v>46243</x:v>
      </x:c>
      <x:c r="W54" s="40" t="n">
        <x:v>20</x:v>
      </x:c>
      <x:c r="X54" s="38" t="n">
        <x:v>1894.6</x:v>
      </x:c>
      <x:c r="Y54" t="str">
        <x:v>Paid</x:v>
      </x:c>
      <x:c r="Z54" s="38" t="n">
        <x:f>ROUND(L54*O54,2)</x:f>
        <x:v>1894.6</x:v>
      </x:c>
      <x:c r="AA54" t="n">
        <x:f>IF(S54="","",S54-N54)</x:f>
        <x:v>3</x:v>
      </x:c>
      <x:c r="AB54" t="str">
        <x:f>IF(S54="","Open",IF(S54&lt;=R54,"On Time","Late"))</x:f>
        <x:v>On Time</x:v>
      </x:c>
      <x:c r="AC54" t="str">
        <x:f>IF(S54="","Open",IF(T54=L54,"Match","Mismatch"))</x:f>
        <x:v>Match</x:v>
      </x:c>
      <x:c r="AD54" t="str">
        <x:f>IF(V54="","Open",IF(ABS(X54-Z54)&lt;=1,"Match","Mismatch"))</x:f>
        <x:v>Match</x:v>
      </x:c>
      <x:c r="AE54" t="str">
        <x:f>IF(OR(AC54="Open",AD54="Open"),"Open",IF(AND(AC54="Match",AD54="Match",W54=T54),"Matched","Exception"))</x:f>
        <x:v>Matched</x:v>
      </x:c>
      <x:c r="AF54" s="40" t="n">
        <x:f>MAX(L54-T54,0)</x:f>
        <x:v>0</x:v>
      </x:c>
    </x:row>
    <x:row r="55">
      <x:c r="A55" t="str">
        <x:v>PR100054</x:v>
      </x:c>
      <x:c r="B55" s="36" t="n">
        <x:v>46203</x:v>
      </x:c>
      <x:c r="C55" t="str">
        <x:v>Operations</x:v>
      </x:c>
      <x:c r="D55" t="str">
        <x:v>PRJ-001</x:v>
      </x:c>
      <x:c r="E55" t="str">
        <x:v>MAT005</x:v>
      </x:c>
      <x:c r="F55" t="str">
        <x:v>TMT Steel Fe500 16mm</x:v>
      </x:c>
      <x:c r="G55" t="str">
        <x:v>Steel</x:v>
      </x:c>
      <x:c r="H55" t="str">
        <x:v>KG</x:v>
      </x:c>
      <x:c r="I55" t="str">
        <x:v>SUP009</x:v>
      </x:c>
      <x:c r="J55" t="str">
        <x:v>Nava Bharat Hardware</x:v>
      </x:c>
      <x:c r="K55" t="str">
        <x:v>Andhra Pradesh</x:v>
      </x:c>
      <x:c r="L55" s="40" t="n">
        <x:v>300</x:v>
      </x:c>
      <x:c r="M55" t="str">
        <x:v>PO200054</x:v>
      </x:c>
      <x:c r="N55" s="36" t="n">
        <x:v>46206</x:v>
      </x:c>
      <x:c r="O55" s="38" t="n">
        <x:v>63.14</x:v>
      </x:c>
      <x:c r="P55" t="str">
        <x:v>60 Days</x:v>
      </x:c>
      <x:c r="Q55" t="str">
        <x:v>R. Sharma</x:v>
      </x:c>
      <x:c r="R55" s="36" t="n">
        <x:v>46221</x:v>
      </x:c>
      <x:c r="S55" s="36" t="n">
        <x:v>46218</x:v>
      </x:c>
      <x:c r="T55" s="40" t="n">
        <x:v>300</x:v>
      </x:c>
      <x:c r="U55" t="str">
        <x:v>INV300054</x:v>
      </x:c>
      <x:c r="V55" s="36" t="n">
        <x:v>46222</x:v>
      </x:c>
      <x:c r="W55" s="40" t="n">
        <x:v>300</x:v>
      </x:c>
      <x:c r="X55" s="38" t="n">
        <x:v>18942</x:v>
      </x:c>
      <x:c r="Y55" t="str">
        <x:v>Blocked for Review</x:v>
      </x:c>
      <x:c r="Z55" s="38" t="n">
        <x:f>ROUND(L55*O55,2)</x:f>
        <x:v>18942</x:v>
      </x:c>
      <x:c r="AA55" t="n">
        <x:f>IF(S55="","",S55-N55)</x:f>
        <x:v>12</x:v>
      </x:c>
      <x:c r="AB55" t="str">
        <x:f>IF(S55="","Open",IF(S55&lt;=R55,"On Time","Late"))</x:f>
        <x:v>On Time</x:v>
      </x:c>
      <x:c r="AC55" t="str">
        <x:f>IF(S55="","Open",IF(T55=L55,"Match","Mismatch"))</x:f>
        <x:v>Match</x:v>
      </x:c>
      <x:c r="AD55" t="str">
        <x:f>IF(V55="","Open",IF(ABS(X55-Z55)&lt;=1,"Match","Mismatch"))</x:f>
        <x:v>Match</x:v>
      </x:c>
      <x:c r="AE55" t="str">
        <x:f>IF(OR(AC55="Open",AD55="Open"),"Open",IF(AND(AC55="Match",AD55="Match",W55=T55),"Matched","Exception"))</x:f>
        <x:v>Matched</x:v>
      </x:c>
      <x:c r="AF55" s="40" t="n">
        <x:f>MAX(L55-T55,0)</x:f>
        <x:v>0</x:v>
      </x:c>
    </x:row>
    <x:row r="56">
      <x:c r="A56" t="str">
        <x:v>PR100055</x:v>
      </x:c>
      <x:c r="B56" s="36" t="n">
        <x:v>46052</x:v>
      </x:c>
      <x:c r="C56" t="str">
        <x:v>Civil Projects</x:v>
      </x:c>
      <x:c r="D56" t="str">
        <x:v>PRJ-001</x:v>
      </x:c>
      <x:c r="E56" t="str">
        <x:v>MAT018</x:v>
      </x:c>
      <x:c r="F56" t="str">
        <x:v>Safety Helmet</x:v>
      </x:c>
      <x:c r="G56" t="str">
        <x:v>Safety</x:v>
      </x:c>
      <x:c r="H56" t="str">
        <x:v>EA</x:v>
      </x:c>
      <x:c r="I56" t="str">
        <x:v>SUP006</x:v>
      </x:c>
      <x:c r="J56" t="str">
        <x:v>SafeSite Industrial</x:v>
      </x:c>
      <x:c r="K56" t="str">
        <x:v>Karnataka</x:v>
      </x:c>
      <x:c r="L56" s="40" t="n">
        <x:v>30</x:v>
      </x:c>
      <x:c r="M56" t="str">
        <x:v>PO200055</x:v>
      </x:c>
      <x:c r="N56" s="36" t="n">
        <x:v>46057</x:v>
      </x:c>
      <x:c r="O56" s="38" t="n">
        <x:v>401.42</x:v>
      </x:c>
      <x:c r="P56" t="str">
        <x:v>45 Days</x:v>
      </x:c>
      <x:c r="Q56" t="str">
        <x:v>R. Sharma</x:v>
      </x:c>
      <x:c r="R56" s="36" t="n">
        <x:v>46073</x:v>
      </x:c>
      <x:c r="S56" s="36" t="n">
        <x:v>46071</x:v>
      </x:c>
      <x:c r="T56" s="40" t="n">
        <x:v>30</x:v>
      </x:c>
      <x:c r="U56" t="str">
        <x:v>INV300055</x:v>
      </x:c>
      <x:c r="V56" s="36" t="n">
        <x:v>46077</x:v>
      </x:c>
      <x:c r="W56" s="40" t="n">
        <x:v>30</x:v>
      </x:c>
      <x:c r="X56" s="38" t="n">
        <x:v>12042.6</x:v>
      </x:c>
      <x:c r="Y56" t="str">
        <x:v>Paid</x:v>
      </x:c>
      <x:c r="Z56" s="38" t="n">
        <x:f>ROUND(L56*O56,2)</x:f>
        <x:v>12042.6</x:v>
      </x:c>
      <x:c r="AA56" t="n">
        <x:f>IF(S56="","",S56-N56)</x:f>
        <x:v>14</x:v>
      </x:c>
      <x:c r="AB56" t="str">
        <x:f>IF(S56="","Open",IF(S56&lt;=R56,"On Time","Late"))</x:f>
        <x:v>On Time</x:v>
      </x:c>
      <x:c r="AC56" t="str">
        <x:f>IF(S56="","Open",IF(T56=L56,"Match","Mismatch"))</x:f>
        <x:v>Match</x:v>
      </x:c>
      <x:c r="AD56" t="str">
        <x:f>IF(V56="","Open",IF(ABS(X56-Z56)&lt;=1,"Match","Mismatch"))</x:f>
        <x:v>Match</x:v>
      </x:c>
      <x:c r="AE56" t="str">
        <x:f>IF(OR(AC56="Open",AD56="Open"),"Open",IF(AND(AC56="Match",AD56="Match",W56=T56),"Matched","Exception"))</x:f>
        <x:v>Matched</x:v>
      </x:c>
      <x:c r="AF56" s="40" t="n">
        <x:f>MAX(L56-T56,0)</x:f>
        <x:v>0</x:v>
      </x:c>
    </x:row>
    <x:row r="57">
      <x:c r="A57" t="str">
        <x:v>PR100056</x:v>
      </x:c>
      <x:c r="B57" s="36" t="n">
        <x:v>46213</x:v>
      </x:c>
      <x:c r="C57" t="str">
        <x:v>Maintenance</x:v>
      </x:c>
      <x:c r="D57" t="str">
        <x:v>PRJ-005</x:v>
      </x:c>
      <x:c r="E57" t="str">
        <x:v>MAT003</x:v>
      </x:c>
      <x:c r="F57" t="str">
        <x:v>Ready Mix Concrete M25</x:v>
      </x:c>
      <x:c r="G57" t="str">
        <x:v>Cement &amp; Concrete</x:v>
      </x:c>
      <x:c r="H57" t="str">
        <x:v>M3</x:v>
      </x:c>
      <x:c r="I57" t="str">
        <x:v>SUP012</x:v>
      </x:c>
      <x:c r="J57" t="str">
        <x:v>GreenField Construction Supply</x:v>
      </x:c>
      <x:c r="K57" t="str">
        <x:v>Telangana</x:v>
      </x:c>
      <x:c r="L57" s="40" t="n">
        <x:v>15</x:v>
      </x:c>
      <x:c r="M57" t="str">
        <x:v>PO200056</x:v>
      </x:c>
      <x:c r="N57" s="36" t="n">
        <x:v>46214</x:v>
      </x:c>
      <x:c r="O57" s="38" t="n">
        <x:v>5089.81</x:v>
      </x:c>
      <x:c r="P57" t="str">
        <x:v>60 Days</x:v>
      </x:c>
      <x:c r="Q57" t="str">
        <x:v>M. Priya</x:v>
      </x:c>
      <x:c r="R57" s="36" t="n">
        <x:v>46232</x:v>
      </x:c>
      <x:c r="S57" s="36" t="n">
        <x:v>46230</x:v>
      </x:c>
      <x:c r="T57" s="40" t="n">
        <x:v>15</x:v>
      </x:c>
      <x:c r="U57" t="str">
        <x:v>INV300056</x:v>
      </x:c>
      <x:c r="V57" s="36" t="n">
        <x:v>46233</x:v>
      </x:c>
      <x:c r="W57" s="40" t="n">
        <x:v>15</x:v>
      </x:c>
      <x:c r="X57" s="38" t="n">
        <x:v>76347.15</x:v>
      </x:c>
      <x:c r="Y57" t="str">
        <x:v>Pending Approval</x:v>
      </x:c>
      <x:c r="Z57" s="38" t="n">
        <x:f>ROUND(L57*O57,2)</x:f>
        <x:v>76347.15</x:v>
      </x:c>
      <x:c r="AA57" t="n">
        <x:f>IF(S57="","",S57-N57)</x:f>
        <x:v>16</x:v>
      </x:c>
      <x:c r="AB57" t="str">
        <x:f>IF(S57="","Open",IF(S57&lt;=R57,"On Time","Late"))</x:f>
        <x:v>On Time</x:v>
      </x:c>
      <x:c r="AC57" t="str">
        <x:f>IF(S57="","Open",IF(T57=L57,"Match","Mismatch"))</x:f>
        <x:v>Match</x:v>
      </x:c>
      <x:c r="AD57" t="str">
        <x:f>IF(V57="","Open",IF(ABS(X57-Z57)&lt;=1,"Match","Mismatch"))</x:f>
        <x:v>Match</x:v>
      </x:c>
      <x:c r="AE57" t="str">
        <x:f>IF(OR(AC57="Open",AD57="Open"),"Open",IF(AND(AC57="Match",AD57="Match",W57=T57),"Matched","Exception"))</x:f>
        <x:v>Matched</x:v>
      </x:c>
      <x:c r="AF57" s="40" t="n">
        <x:f>MAX(L57-T57,0)</x:f>
        <x:v>0</x:v>
      </x:c>
    </x:row>
    <x:row r="58">
      <x:c r="A58" t="str">
        <x:v>PR100057</x:v>
      </x:c>
      <x:c r="B58" s="36" t="n">
        <x:v>46065</x:v>
      </x:c>
      <x:c r="C58" t="str">
        <x:v>Maintenance</x:v>
      </x:c>
      <x:c r="D58" t="str">
        <x:v>PRJ-006</x:v>
      </x:c>
      <x:c r="E58" t="str">
        <x:v>MAT008</x:v>
      </x:c>
      <x:c r="F58" t="str">
        <x:v>20mm Aggregate</x:v>
      </x:c>
      <x:c r="G58" t="str">
        <x:v>Aggregates</x:v>
      </x:c>
      <x:c r="H58" t="str">
        <x:v>TON</x:v>
      </x:c>
      <x:c r="I58" t="str">
        <x:v>SUP012</x:v>
      </x:c>
      <x:c r="J58" t="str">
        <x:v>GreenField Construction Supply</x:v>
      </x:c>
      <x:c r="K58" t="str">
        <x:v>Telangana</x:v>
      </x:c>
      <x:c r="L58" s="40" t="n">
        <x:v>25</x:v>
      </x:c>
      <x:c r="M58" t="str">
        <x:v>PO200057</x:v>
      </x:c>
      <x:c r="N58" s="36" t="n">
        <x:v>46066</x:v>
      </x:c>
      <x:c r="O58" s="38" t="n">
        <x:v>1367.64</x:v>
      </x:c>
      <x:c r="P58" t="str">
        <x:v>30 Days</x:v>
      </x:c>
      <x:c r="Q58" t="str">
        <x:v>S. Kumar</x:v>
      </x:c>
      <x:c r="R58" s="36" t="n">
        <x:v>46083</x:v>
      </x:c>
      <x:c r="S58" s="36" t="n">
        <x:v>46080</x:v>
      </x:c>
      <x:c r="T58" s="40" t="n">
        <x:v>5</x:v>
      </x:c>
      <x:c r="U58" t="str">
        <x:v>INV300057</x:v>
      </x:c>
      <x:c r="V58" s="36" t="n">
        <x:v>46081</x:v>
      </x:c>
      <x:c r="W58" s="40" t="n">
        <x:v>5</x:v>
      </x:c>
      <x:c r="X58" s="38" t="n">
        <x:v>34191</x:v>
      </x:c>
      <x:c r="Y58" t="str">
        <x:v>Paid</x:v>
      </x:c>
      <x:c r="Z58" s="38" t="n">
        <x:f>ROUND(L58*O58,2)</x:f>
        <x:v>34191</x:v>
      </x:c>
      <x:c r="AA58" t="n">
        <x:f>IF(S58="","",S58-N58)</x:f>
        <x:v>14</x:v>
      </x:c>
      <x:c r="AB58" t="str">
        <x:f>IF(S58="","Open",IF(S58&lt;=R58,"On Time","Late"))</x:f>
        <x:v>On Time</x:v>
      </x:c>
      <x:c r="AC58" t="str">
        <x:f>IF(S58="","Open",IF(T58=L58,"Match","Mismatch"))</x:f>
        <x:v>Mismatch</x:v>
      </x:c>
      <x:c r="AD58" t="str">
        <x:f>IF(V58="","Open",IF(ABS(X58-Z58)&lt;=1,"Match","Mismatch"))</x:f>
        <x:v>Match</x:v>
      </x:c>
      <x:c r="AE58" t="str">
        <x:f>IF(OR(AC58="Open",AD58="Open"),"Open",IF(AND(AC58="Match",AD58="Match",W58=T58),"Matched","Exception"))</x:f>
        <x:v>Exception</x:v>
      </x:c>
      <x:c r="AF58" s="40" t="n">
        <x:f>MAX(L58-T58,0)</x:f>
        <x:v>20</x:v>
      </x:c>
    </x:row>
    <x:row r="59">
      <x:c r="A59" t="str">
        <x:v>PR100058</x:v>
      </x:c>
      <x:c r="B59" s="36" t="n">
        <x:v>46194</x:v>
      </x:c>
      <x:c r="C59" t="str">
        <x:v>Facilities</x:v>
      </x:c>
      <x:c r="D59" t="str">
        <x:v>PRJ-007</x:v>
      </x:c>
      <x:c r="E59" t="str">
        <x:v>MAT031</x:v>
      </x:c>
      <x:c r="F59" t="str">
        <x:v>Office Paper A4</x:v>
      </x:c>
      <x:c r="G59" t="str">
        <x:v>Office Supplies</x:v>
      </x:c>
      <x:c r="H59" t="str">
        <x:v>REAM</x:v>
      </x:c>
      <x:c r="I59" t="str">
        <x:v>SUP008</x:v>
      </x:c>
      <x:c r="J59" t="str">
        <x:v>Prime Office Solutions</x:v>
      </x:c>
      <x:c r="K59" t="str">
        <x:v>Telangana</x:v>
      </x:c>
      <x:c r="L59" s="40" t="n">
        <x:v>100</x:v>
      </x:c>
      <x:c r="M59" t="str">
        <x:v>PO200058</x:v>
      </x:c>
      <x:c r="N59" s="36" t="n">
        <x:v>46195</x:v>
      </x:c>
      <x:c r="O59" s="38" t="n">
        <x:v>346.78</x:v>
      </x:c>
      <x:c r="P59" t="str">
        <x:v>45 Days</x:v>
      </x:c>
      <x:c r="Q59" t="str">
        <x:v>M. Priya</x:v>
      </x:c>
      <x:c r="R59" s="36" t="n">
        <x:v>46209</x:v>
      </x:c>
      <x:c r="S59" s="36" t="n">
        <x:v>46208</x:v>
      </x:c>
      <x:c r="T59" s="40" t="n">
        <x:v>99</x:v>
      </x:c>
      <x:c r="U59" t="str">
        <x:v>INV300058</x:v>
      </x:c>
      <x:c r="V59" s="36" t="n">
        <x:v>46211</x:v>
      </x:c>
      <x:c r="W59" s="40" t="n">
        <x:v>99</x:v>
      </x:c>
      <x:c r="X59" s="38" t="n">
        <x:v>34678</x:v>
      </x:c>
      <x:c r="Y59" t="str">
        <x:v>Paid</x:v>
      </x:c>
      <x:c r="Z59" s="38" t="n">
        <x:f>ROUND(L59*O59,2)</x:f>
        <x:v>34678</x:v>
      </x:c>
      <x:c r="AA59" t="n">
        <x:f>IF(S59="","",S59-N59)</x:f>
        <x:v>13</x:v>
      </x:c>
      <x:c r="AB59" t="str">
        <x:f>IF(S59="","Open",IF(S59&lt;=R59,"On Time","Late"))</x:f>
        <x:v>On Time</x:v>
      </x:c>
      <x:c r="AC59" t="str">
        <x:f>IF(S59="","Open",IF(T59=L59,"Match","Mismatch"))</x:f>
        <x:v>Mismatch</x:v>
      </x:c>
      <x:c r="AD59" t="str">
        <x:f>IF(V59="","Open",IF(ABS(X59-Z59)&lt;=1,"Match","Mismatch"))</x:f>
        <x:v>Match</x:v>
      </x:c>
      <x:c r="AE59" t="str">
        <x:f>IF(OR(AC59="Open",AD59="Open"),"Open",IF(AND(AC59="Match",AD59="Match",W59=T59),"Matched","Exception"))</x:f>
        <x:v>Exception</x:v>
      </x:c>
      <x:c r="AF59" s="40" t="n">
        <x:f>MAX(L59-T59,0)</x:f>
        <x:v>1</x:v>
      </x:c>
    </x:row>
    <x:row r="60">
      <x:c r="A60" t="str">
        <x:v>PR100059</x:v>
      </x:c>
      <x:c r="B60" s="36" t="n">
        <x:v>46106</x:v>
      </x:c>
      <x:c r="C60" t="str">
        <x:v>Operations</x:v>
      </x:c>
      <x:c r="D60" t="str">
        <x:v>PRJ-006</x:v>
      </x:c>
      <x:c r="E60" t="str">
        <x:v>MAT035</x:v>
      </x:c>
      <x:c r="F60" t="str">
        <x:v>Welding Electrode</x:v>
      </x:c>
      <x:c r="G60" t="str">
        <x:v>Consumables</x:v>
      </x:c>
      <x:c r="H60" t="str">
        <x:v>KG</x:v>
      </x:c>
      <x:c r="I60" t="str">
        <x:v>SUP009</x:v>
      </x:c>
      <x:c r="J60" t="str">
        <x:v>Nava Bharat Hardware</x:v>
      </x:c>
      <x:c r="K60" t="str">
        <x:v>Andhra Pradesh</x:v>
      </x:c>
      <x:c r="L60" s="40" t="n">
        <x:v>1000</x:v>
      </x:c>
      <x:c r="M60" t="str">
        <x:v>PO200059</x:v>
      </x:c>
      <x:c r="N60" s="36" t="n">
        <x:v>46109</x:v>
      </x:c>
      <x:c r="O60" s="38" t="n">
        <x:v>298.94</x:v>
      </x:c>
      <x:c r="P60" t="str">
        <x:v>30 Days</x:v>
      </x:c>
      <x:c r="Q60" t="str">
        <x:v>R. Sharma</x:v>
      </x:c>
      <x:c r="R60" s="36" t="n">
        <x:v>46126</x:v>
      </x:c>
      <x:c r="S60" s="36" t="n">
        <x:v>46124</x:v>
      </x:c>
      <x:c r="T60" s="40" t="n">
        <x:v>1000</x:v>
      </x:c>
      <x:c r="U60" t="str">
        <x:v>INV300059</x:v>
      </x:c>
      <x:c r="V60" s="36" t="n">
        <x:v>46128</x:v>
      </x:c>
      <x:c r="W60" s="40" t="n">
        <x:v>1000</x:v>
      </x:c>
      <x:c r="X60" s="38" t="n">
        <x:v>298940</x:v>
      </x:c>
      <x:c r="Y60" t="str">
        <x:v>Paid</x:v>
      </x:c>
      <x:c r="Z60" s="38" t="n">
        <x:f>ROUND(L60*O60,2)</x:f>
        <x:v>298940</x:v>
      </x:c>
      <x:c r="AA60" t="n">
        <x:f>IF(S60="","",S60-N60)</x:f>
        <x:v>15</x:v>
      </x:c>
      <x:c r="AB60" t="str">
        <x:f>IF(S60="","Open",IF(S60&lt;=R60,"On Time","Late"))</x:f>
        <x:v>On Time</x:v>
      </x:c>
      <x:c r="AC60" t="str">
        <x:f>IF(S60="","Open",IF(T60=L60,"Match","Mismatch"))</x:f>
        <x:v>Match</x:v>
      </x:c>
      <x:c r="AD60" t="str">
        <x:f>IF(V60="","Open",IF(ABS(X60-Z60)&lt;=1,"Match","Mismatch"))</x:f>
        <x:v>Match</x:v>
      </x:c>
      <x:c r="AE60" t="str">
        <x:f>IF(OR(AC60="Open",AD60="Open"),"Open",IF(AND(AC60="Match",AD60="Match",W60=T60),"Matched","Exception"))</x:f>
        <x:v>Matched</x:v>
      </x:c>
      <x:c r="AF60" s="40" t="n">
        <x:f>MAX(L60-T60,0)</x:f>
        <x:v>0</x:v>
      </x:c>
    </x:row>
    <x:row r="61">
      <x:c r="A61" t="str">
        <x:v>PR100060</x:v>
      </x:c>
      <x:c r="B61" s="36" t="n">
        <x:v>46089</x:v>
      </x:c>
      <x:c r="C61" t="str">
        <x:v>Facilities</x:v>
      </x:c>
      <x:c r="D61" t="str">
        <x:v>PRJ-004</x:v>
      </x:c>
      <x:c r="E61" t="str">
        <x:v>MAT018</x:v>
      </x:c>
      <x:c r="F61" t="str">
        <x:v>Safety Helmet</x:v>
      </x:c>
      <x:c r="G61" t="str">
        <x:v>Safety</x:v>
      </x:c>
      <x:c r="H61" t="str">
        <x:v>EA</x:v>
      </x:c>
      <x:c r="I61" t="str">
        <x:v>SUP006</x:v>
      </x:c>
      <x:c r="J61" t="str">
        <x:v>SafeSite Industrial</x:v>
      </x:c>
      <x:c r="K61" t="str">
        <x:v>Karnataka</x:v>
      </x:c>
      <x:c r="L61" s="40" t="n">
        <x:v>30</x:v>
      </x:c>
      <x:c r="M61" t="str">
        <x:v>PO200060</x:v>
      </x:c>
      <x:c r="N61" s="36" t="n">
        <x:v>46093</x:v>
      </x:c>
      <x:c r="O61" s="38" t="n">
        <x:v>403.85</x:v>
      </x:c>
      <x:c r="P61" t="str">
        <x:v>30 Days</x:v>
      </x:c>
      <x:c r="Q61" t="str">
        <x:v>M. Priya</x:v>
      </x:c>
      <x:c r="R61" s="36" t="n">
        <x:v>46107</x:v>
      </x:c>
      <x:c r="S61" s="36" t="n">
        <x:v>46113</x:v>
      </x:c>
      <x:c r="T61" s="40" t="n">
        <x:v>30</x:v>
      </x:c>
      <x:c r="U61" t="str">
        <x:v>INV300060</x:v>
      </x:c>
      <x:c r="V61" s="36" t="n">
        <x:v>46115</x:v>
      </x:c>
      <x:c r="W61" s="40" t="n">
        <x:v>30</x:v>
      </x:c>
      <x:c r="X61" s="38" t="n">
        <x:v>12115.5</x:v>
      </x:c>
      <x:c r="Y61" t="str">
        <x:v>Pending Approval</x:v>
      </x:c>
      <x:c r="Z61" s="38" t="n">
        <x:f>ROUND(L61*O61,2)</x:f>
        <x:v>12115.5</x:v>
      </x:c>
      <x:c r="AA61" t="n">
        <x:f>IF(S61="","",S61-N61)</x:f>
        <x:v>20</x:v>
      </x:c>
      <x:c r="AB61" t="str">
        <x:f>IF(S61="","Open",IF(S61&lt;=R61,"On Time","Late"))</x:f>
        <x:v>Late</x:v>
      </x:c>
      <x:c r="AC61" t="str">
        <x:f>IF(S61="","Open",IF(T61=L61,"Match","Mismatch"))</x:f>
        <x:v>Match</x:v>
      </x:c>
      <x:c r="AD61" t="str">
        <x:f>IF(V61="","Open",IF(ABS(X61-Z61)&lt;=1,"Match","Mismatch"))</x:f>
        <x:v>Match</x:v>
      </x:c>
      <x:c r="AE61" t="str">
        <x:f>IF(OR(AC61="Open",AD61="Open"),"Open",IF(AND(AC61="Match",AD61="Match",W61=T61),"Matched","Exception"))</x:f>
        <x:v>Matched</x:v>
      </x:c>
      <x:c r="AF61" s="40" t="n">
        <x:f>MAX(L61-T61,0)</x:f>
        <x:v>0</x:v>
      </x:c>
    </x:row>
    <x:row r="62">
      <x:c r="A62" t="str">
        <x:v>PR100061</x:v>
      </x:c>
      <x:c r="B62" s="36" t="n">
        <x:v>46168</x:v>
      </x:c>
      <x:c r="C62" t="str">
        <x:v>Maintenance</x:v>
      </x:c>
      <x:c r="D62" t="str">
        <x:v>PRJ-002</x:v>
      </x:c>
      <x:c r="E62" t="str">
        <x:v>MAT010</x:v>
      </x:c>
      <x:c r="F62" t="str">
        <x:v>AAC Block 600x200x200</x:v>
      </x:c>
      <x:c r="G62" t="str">
        <x:v>Masonry</x:v>
      </x:c>
      <x:c r="H62" t="str">
        <x:v>EA</x:v>
      </x:c>
      <x:c r="I62" t="str">
        <x:v>SUP009</x:v>
      </x:c>
      <x:c r="J62" t="str">
        <x:v>Nava Bharat Hardware</x:v>
      </x:c>
      <x:c r="K62" t="str">
        <x:v>Andhra Pradesh</x:v>
      </x:c>
      <x:c r="L62" s="40" t="n">
        <x:v>40</x:v>
      </x:c>
      <x:c r="M62" t="str">
        <x:v>PO200061</x:v>
      </x:c>
      <x:c r="N62" s="36" t="n">
        <x:v>46169</x:v>
      </x:c>
      <x:c r="O62" s="38" t="n">
        <x:v>97.86</x:v>
      </x:c>
      <x:c r="P62" t="str">
        <x:v>60 Days</x:v>
      </x:c>
      <x:c r="Q62" t="str">
        <x:v>A. Reddy</x:v>
      </x:c>
      <x:c r="R62" s="36" t="n">
        <x:v>46181</x:v>
      </x:c>
      <x:c r="S62" s="36" t="n">
        <x:v>46180</x:v>
      </x:c>
      <x:c r="T62" s="40" t="n">
        <x:v>38</x:v>
      </x:c>
      <x:c r="U62" t="str">
        <x:v>INV300061</x:v>
      </x:c>
      <x:c r="V62" s="36" t="n">
        <x:v>46185</x:v>
      </x:c>
      <x:c r="W62" s="40" t="n">
        <x:v>38</x:v>
      </x:c>
      <x:c r="X62" s="38" t="n">
        <x:v>3914.4</x:v>
      </x:c>
      <x:c r="Y62" t="str">
        <x:v>Paid</x:v>
      </x:c>
      <x:c r="Z62" s="38" t="n">
        <x:f>ROUND(L62*O62,2)</x:f>
        <x:v>3914.4</x:v>
      </x:c>
      <x:c r="AA62" t="n">
        <x:f>IF(S62="","",S62-N62)</x:f>
        <x:v>11</x:v>
      </x:c>
      <x:c r="AB62" t="str">
        <x:f>IF(S62="","Open",IF(S62&lt;=R62,"On Time","Late"))</x:f>
        <x:v>On Time</x:v>
      </x:c>
      <x:c r="AC62" t="str">
        <x:f>IF(S62="","Open",IF(T62=L62,"Match","Mismatch"))</x:f>
        <x:v>Mismatch</x:v>
      </x:c>
      <x:c r="AD62" t="str">
        <x:f>IF(V62="","Open",IF(ABS(X62-Z62)&lt;=1,"Match","Mismatch"))</x:f>
        <x:v>Match</x:v>
      </x:c>
      <x:c r="AE62" t="str">
        <x:f>IF(OR(AC62="Open",AD62="Open"),"Open",IF(AND(AC62="Match",AD62="Match",W62=T62),"Matched","Exception"))</x:f>
        <x:v>Exception</x:v>
      </x:c>
      <x:c r="AF62" s="40" t="n">
        <x:f>MAX(L62-T62,0)</x:f>
        <x:v>2</x:v>
      </x:c>
    </x:row>
    <x:row r="63">
      <x:c r="A63" t="str">
        <x:v>PR100062</x:v>
      </x:c>
      <x:c r="B63" s="36" t="n">
        <x:v>46212</x:v>
      </x:c>
      <x:c r="C63" t="str">
        <x:v>Operations</x:v>
      </x:c>
      <x:c r="D63" t="str">
        <x:v>PRJ-008</x:v>
      </x:c>
      <x:c r="E63" t="str">
        <x:v>MAT031</x:v>
      </x:c>
      <x:c r="F63" t="str">
        <x:v>Office Paper A4</x:v>
      </x:c>
      <x:c r="G63" t="str">
        <x:v>Office Supplies</x:v>
      </x:c>
      <x:c r="H63" t="str">
        <x:v>REAM</x:v>
      </x:c>
      <x:c r="I63" t="str">
        <x:v>SUP008</x:v>
      </x:c>
      <x:c r="J63" t="str">
        <x:v>Prime Office Solutions</x:v>
      </x:c>
      <x:c r="K63" t="str">
        <x:v>Telangana</x:v>
      </x:c>
      <x:c r="L63" s="40" t="n">
        <x:v>30</x:v>
      </x:c>
      <x:c r="M63" t="str">
        <x:v>PO200062</x:v>
      </x:c>
      <x:c r="N63" s="36" t="n">
        <x:v>46214</x:v>
      </x:c>
      <x:c r="O63" s="38" t="n">
        <x:v>348.86</x:v>
      </x:c>
      <x:c r="P63" t="str">
        <x:v>60 Days</x:v>
      </x:c>
      <x:c r="Q63" t="str">
        <x:v>A. Reddy</x:v>
      </x:c>
      <x:c r="R63" s="36" t="n">
        <x:v>46226</x:v>
      </x:c>
      <x:c r="S63" s="36"/>
      <x:c r="T63" s="40" t="n">
        <x:v>0</x:v>
      </x:c>
      <x:c r="U63" t="str"/>
      <x:c r="V63" s="36"/>
      <x:c r="W63" s="40" t="n">
        <x:v>0</x:v>
      </x:c>
      <x:c r="X63" s="38" t="str"/>
      <x:c r="Y63" t="str">
        <x:v>Open PO</x:v>
      </x:c>
      <x:c r="Z63" s="38" t="n">
        <x:f>ROUND(L63*O63,2)</x:f>
        <x:v>10465.8</x:v>
      </x:c>
      <x:c r="AA63" t="str">
        <x:f>IF(S63="","",S63-N63)</x:f>
      </x:c>
      <x:c r="AB63" t="str">
        <x:f>IF(S63="","Open",IF(S63&lt;=R63,"On Time","Late"))</x:f>
        <x:v>Open</x:v>
      </x:c>
      <x:c r="AC63" t="str">
        <x:f>IF(S63="","Open",IF(T63=L63,"Match","Mismatch"))</x:f>
        <x:v>Open</x:v>
      </x:c>
      <x:c r="AD63" t="str">
        <x:f>IF(V63="","Open",IF(ABS(X63-Z63)&lt;=1,"Match","Mismatch"))</x:f>
        <x:v>Open</x:v>
      </x:c>
      <x:c r="AE63" t="str">
        <x:f>IF(OR(AC63="Open",AD63="Open"),"Open",IF(AND(AC63="Match",AD63="Match",W63=T63),"Matched","Exception"))</x:f>
        <x:v>Open</x:v>
      </x:c>
      <x:c r="AF63" s="40" t="n">
        <x:f>MAX(L63-T63,0)</x:f>
        <x:v>30</x:v>
      </x:c>
    </x:row>
    <x:row r="64">
      <x:c r="A64" t="str">
        <x:v>PR100063</x:v>
      </x:c>
      <x:c r="B64" s="36" t="n">
        <x:v>46232</x:v>
      </x:c>
      <x:c r="C64" t="str">
        <x:v>Operations</x:v>
      </x:c>
      <x:c r="D64" t="str">
        <x:v>PRJ-008</x:v>
      </x:c>
      <x:c r="E64" t="str">
        <x:v>MAT004</x:v>
      </x:c>
      <x:c r="F64" t="str">
        <x:v>TMT Steel Fe500 12mm</x:v>
      </x:c>
      <x:c r="G64" t="str">
        <x:v>Steel</x:v>
      </x:c>
      <x:c r="H64" t="str">
        <x:v>KG</x:v>
      </x:c>
      <x:c r="I64" t="str">
        <x:v>SUP009</x:v>
      </x:c>
      <x:c r="J64" t="str">
        <x:v>Nava Bharat Hardware</x:v>
      </x:c>
      <x:c r="K64" t="str">
        <x:v>Andhra Pradesh</x:v>
      </x:c>
      <x:c r="L64" s="40" t="n">
        <x:v>1000</x:v>
      </x:c>
      <x:c r="M64" t="str">
        <x:v>PO200063</x:v>
      </x:c>
      <x:c r="N64" s="36" t="n">
        <x:v>46235</x:v>
      </x:c>
      <x:c r="O64" s="38" t="n">
        <x:v>57.86</x:v>
      </x:c>
      <x:c r="P64" t="str">
        <x:v>60 Days</x:v>
      </x:c>
      <x:c r="Q64" t="str">
        <x:v>R. Sharma</x:v>
      </x:c>
      <x:c r="R64" s="36" t="n">
        <x:v>46246</x:v>
      </x:c>
      <x:c r="S64" s="36" t="n">
        <x:v>46246</x:v>
      </x:c>
      <x:c r="T64" s="40" t="n">
        <x:v>1000</x:v>
      </x:c>
      <x:c r="U64" t="str">
        <x:v>INV300063</x:v>
      </x:c>
      <x:c r="V64" s="36" t="n">
        <x:v>46251</x:v>
      </x:c>
      <x:c r="W64" s="40" t="n">
        <x:v>1000</x:v>
      </x:c>
      <x:c r="X64" s="38" t="n">
        <x:v>57860</x:v>
      </x:c>
      <x:c r="Y64" t="str">
        <x:v>Paid</x:v>
      </x:c>
      <x:c r="Z64" s="38" t="n">
        <x:f>ROUND(L64*O64,2)</x:f>
        <x:v>57860</x:v>
      </x:c>
      <x:c r="AA64" t="n">
        <x:f>IF(S64="","",S64-N64)</x:f>
        <x:v>11</x:v>
      </x:c>
      <x:c r="AB64" t="str">
        <x:f>IF(S64="","Open",IF(S64&lt;=R64,"On Time","Late"))</x:f>
        <x:v>On Time</x:v>
      </x:c>
      <x:c r="AC64" t="str">
        <x:f>IF(S64="","Open",IF(T64=L64,"Match","Mismatch"))</x:f>
        <x:v>Match</x:v>
      </x:c>
      <x:c r="AD64" t="str">
        <x:f>IF(V64="","Open",IF(ABS(X64-Z64)&lt;=1,"Match","Mismatch"))</x:f>
        <x:v>Match</x:v>
      </x:c>
      <x:c r="AE64" t="str">
        <x:f>IF(OR(AC64="Open",AD64="Open"),"Open",IF(AND(AC64="Match",AD64="Match",W64=T64),"Matched","Exception"))</x:f>
        <x:v>Matched</x:v>
      </x:c>
      <x:c r="AF64" s="40" t="n">
        <x:f>MAX(L64-T64,0)</x:f>
        <x:v>0</x:v>
      </x:c>
    </x:row>
    <x:row r="65">
      <x:c r="A65" t="str">
        <x:v>PR100064</x:v>
      </x:c>
      <x:c r="B65" s="36" t="n">
        <x:v>46137</x:v>
      </x:c>
      <x:c r="C65" t="str">
        <x:v>Maintenance</x:v>
      </x:c>
      <x:c r="D65" t="str">
        <x:v>PRJ-002</x:v>
      </x:c>
      <x:c r="E65" t="str">
        <x:v>MAT007</x:v>
      </x:c>
      <x:c r="F65" t="str">
        <x:v>River Sand</x:v>
      </x:c>
      <x:c r="G65" t="str">
        <x:v>Aggregates</x:v>
      </x:c>
      <x:c r="H65" t="str">
        <x:v>TON</x:v>
      </x:c>
      <x:c r="I65" t="str">
        <x:v>SUP003</x:v>
      </x:c>
      <x:c r="J65" t="str">
        <x:v>BuildRight Aggregates</x:v>
      </x:c>
      <x:c r="K65" t="str">
        <x:v>Telangana</x:v>
      </x:c>
      <x:c r="L65" s="40" t="n">
        <x:v>12</x:v>
      </x:c>
      <x:c r="M65" t="str">
        <x:v>PO200064</x:v>
      </x:c>
      <x:c r="N65" s="36" t="n">
        <x:v>46141</x:v>
      </x:c>
      <x:c r="O65" s="38" t="n">
        <x:v>1442.01</x:v>
      </x:c>
      <x:c r="P65" t="str">
        <x:v>30 Days</x:v>
      </x:c>
      <x:c r="Q65" t="str">
        <x:v>A. Reddy</x:v>
      </x:c>
      <x:c r="R65" s="36" t="n">
        <x:v>46159</x:v>
      </x:c>
      <x:c r="S65" s="36" t="n">
        <x:v>46159</x:v>
      </x:c>
      <x:c r="T65" s="40" t="n">
        <x:v>12</x:v>
      </x:c>
      <x:c r="U65" t="str">
        <x:v>INV300064</x:v>
      </x:c>
      <x:c r="V65" s="36" t="n">
        <x:v>46162</x:v>
      </x:c>
      <x:c r="W65" s="40" t="n">
        <x:v>12</x:v>
      </x:c>
      <x:c r="X65" s="38" t="n">
        <x:v>17304.12</x:v>
      </x:c>
      <x:c r="Y65" t="str">
        <x:v>Paid</x:v>
      </x:c>
      <x:c r="Z65" s="38" t="n">
        <x:f>ROUND(L65*O65,2)</x:f>
        <x:v>17304.12</x:v>
      </x:c>
      <x:c r="AA65" t="n">
        <x:f>IF(S65="","",S65-N65)</x:f>
        <x:v>18</x:v>
      </x:c>
      <x:c r="AB65" t="str">
        <x:f>IF(S65="","Open",IF(S65&lt;=R65,"On Time","Late"))</x:f>
        <x:v>On Time</x:v>
      </x:c>
      <x:c r="AC65" t="str">
        <x:f>IF(S65="","Open",IF(T65=L65,"Match","Mismatch"))</x:f>
        <x:v>Match</x:v>
      </x:c>
      <x:c r="AD65" t="str">
        <x:f>IF(V65="","Open",IF(ABS(X65-Z65)&lt;=1,"Match","Mismatch"))</x:f>
        <x:v>Match</x:v>
      </x:c>
      <x:c r="AE65" t="str">
        <x:f>IF(OR(AC65="Open",AD65="Open"),"Open",IF(AND(AC65="Match",AD65="Match",W65=T65),"Matched","Exception"))</x:f>
        <x:v>Matched</x:v>
      </x:c>
      <x:c r="AF65" s="40" t="n">
        <x:f>MAX(L65-T65,0)</x:f>
        <x:v>0</x:v>
      </x:c>
    </x:row>
    <x:row r="66">
      <x:c r="A66" t="str">
        <x:v>PR100065</x:v>
      </x:c>
      <x:c r="B66" s="36" t="n">
        <x:v>46076</x:v>
      </x:c>
      <x:c r="C66" t="str">
        <x:v>Civil Projects</x:v>
      </x:c>
      <x:c r="D66" t="str">
        <x:v>PRJ-005</x:v>
      </x:c>
      <x:c r="E66" t="str">
        <x:v>MAT006</x:v>
      </x:c>
      <x:c r="F66" t="str">
        <x:v>Structural Steel Angle</x:v>
      </x:c>
      <x:c r="G66" t="str">
        <x:v>Steel</x:v>
      </x:c>
      <x:c r="H66" t="str">
        <x:v>KG</x:v>
      </x:c>
      <x:c r="I66" t="str">
        <x:v>SUP009</x:v>
      </x:c>
      <x:c r="J66" t="str">
        <x:v>Nava Bharat Hardware</x:v>
      </x:c>
      <x:c r="K66" t="str">
        <x:v>Andhra Pradesh</x:v>
      </x:c>
      <x:c r="L66" s="40" t="n">
        <x:v>100</x:v>
      </x:c>
      <x:c r="M66" t="str">
        <x:v>PO200065</x:v>
      </x:c>
      <x:c r="N66" s="36" t="n">
        <x:v>46078</x:v>
      </x:c>
      <x:c r="O66" s="38" t="n">
        <x:v>79.99</x:v>
      </x:c>
      <x:c r="P66" t="str">
        <x:v>60 Days</x:v>
      </x:c>
      <x:c r="Q66" t="str">
        <x:v>M. Priya</x:v>
      </x:c>
      <x:c r="R66" s="36" t="n">
        <x:v>46090</x:v>
      </x:c>
      <x:c r="S66" s="36" t="n">
        <x:v>46090</x:v>
      </x:c>
      <x:c r="T66" s="40" t="n">
        <x:v>100</x:v>
      </x:c>
      <x:c r="U66" t="str">
        <x:v>INV300065</x:v>
      </x:c>
      <x:c r="V66" s="36" t="n">
        <x:v>46097</x:v>
      </x:c>
      <x:c r="W66" s="40" t="n">
        <x:v>100</x:v>
      </x:c>
      <x:c r="X66" s="38" t="n">
        <x:v>7999</x:v>
      </x:c>
      <x:c r="Y66" t="str">
        <x:v>Pending Approval</x:v>
      </x:c>
      <x:c r="Z66" s="38" t="n">
        <x:f>ROUND(L66*O66,2)</x:f>
        <x:v>7999</x:v>
      </x:c>
      <x:c r="AA66" t="n">
        <x:f>IF(S66="","",S66-N66)</x:f>
        <x:v>12</x:v>
      </x:c>
      <x:c r="AB66" t="str">
        <x:f>IF(S66="","Open",IF(S66&lt;=R66,"On Time","Late"))</x:f>
        <x:v>On Time</x:v>
      </x:c>
      <x:c r="AC66" t="str">
        <x:f>IF(S66="","Open",IF(T66=L66,"Match","Mismatch"))</x:f>
        <x:v>Match</x:v>
      </x:c>
      <x:c r="AD66" t="str">
        <x:f>IF(V66="","Open",IF(ABS(X66-Z66)&lt;=1,"Match","Mismatch"))</x:f>
        <x:v>Match</x:v>
      </x:c>
      <x:c r="AE66" t="str">
        <x:f>IF(OR(AC66="Open",AD66="Open"),"Open",IF(AND(AC66="Match",AD66="Match",W66=T66),"Matched","Exception"))</x:f>
        <x:v>Matched</x:v>
      </x:c>
      <x:c r="AF66" s="40" t="n">
        <x:f>MAX(L66-T66,0)</x:f>
        <x:v>0</x:v>
      </x:c>
    </x:row>
    <x:row r="67">
      <x:c r="A67" t="str">
        <x:v>PR100066</x:v>
      </x:c>
      <x:c r="B67" s="36" t="n">
        <x:v>46286</x:v>
      </x:c>
      <x:c r="C67" t="str">
        <x:v>Civil Projects</x:v>
      </x:c>
      <x:c r="D67" t="str">
        <x:v>PRJ-005</x:v>
      </x:c>
      <x:c r="E67" t="str">
        <x:v>MAT023</x:v>
      </x:c>
      <x:c r="F67" t="str">
        <x:v>Measuring Tape 5m</x:v>
      </x:c>
      <x:c r="G67" t="str">
        <x:v>Tools</x:v>
      </x:c>
      <x:c r="H67" t="str">
        <x:v>EA</x:v>
      </x:c>
      <x:c r="I67" t="str">
        <x:v>SUP007</x:v>
      </x:c>
      <x:c r="J67" t="str">
        <x:v>Precision Tools India</x:v>
      </x:c>
      <x:c r="K67" t="str">
        <x:v>Telangana</x:v>
      </x:c>
      <x:c r="L67" s="40" t="n">
        <x:v>100</x:v>
      </x:c>
      <x:c r="M67" t="str">
        <x:v>PO200066</x:v>
      </x:c>
      <x:c r="N67" s="36" t="n">
        <x:v>46287</x:v>
      </x:c>
      <x:c r="O67" s="38" t="n">
        <x:v>307.32</x:v>
      </x:c>
      <x:c r="P67" t="str">
        <x:v>30 Days</x:v>
      </x:c>
      <x:c r="Q67" t="str">
        <x:v>S. Kumar</x:v>
      </x:c>
      <x:c r="R67" s="36" t="n">
        <x:v>46301</x:v>
      </x:c>
      <x:c r="S67" s="36" t="n">
        <x:v>46299</x:v>
      </x:c>
      <x:c r="T67" s="40" t="n">
        <x:v>100</x:v>
      </x:c>
      <x:c r="U67" t="str">
        <x:v>INV300066</x:v>
      </x:c>
      <x:c r="V67" s="36" t="n">
        <x:v>46302</x:v>
      </x:c>
      <x:c r="W67" s="40" t="n">
        <x:v>100</x:v>
      </x:c>
      <x:c r="X67" s="38" t="n">
        <x:v>30732</x:v>
      </x:c>
      <x:c r="Y67" t="str">
        <x:v>Pending Approval</x:v>
      </x:c>
      <x:c r="Z67" s="38" t="n">
        <x:f>ROUND(L67*O67,2)</x:f>
        <x:v>30732</x:v>
      </x:c>
      <x:c r="AA67" t="n">
        <x:f>IF(S67="","",S67-N67)</x:f>
        <x:v>12</x:v>
      </x:c>
      <x:c r="AB67" t="str">
        <x:f>IF(S67="","Open",IF(S67&lt;=R67,"On Time","Late"))</x:f>
        <x:v>On Time</x:v>
      </x:c>
      <x:c r="AC67" t="str">
        <x:f>IF(S67="","Open",IF(T67=L67,"Match","Mismatch"))</x:f>
        <x:v>Match</x:v>
      </x:c>
      <x:c r="AD67" t="str">
        <x:f>IF(V67="","Open",IF(ABS(X67-Z67)&lt;=1,"Match","Mismatch"))</x:f>
        <x:v>Match</x:v>
      </x:c>
      <x:c r="AE67" t="str">
        <x:f>IF(OR(AC67="Open",AD67="Open"),"Open",IF(AND(AC67="Match",AD67="Match",W67=T67),"Matched","Exception"))</x:f>
        <x:v>Matched</x:v>
      </x:c>
      <x:c r="AF67" s="40" t="n">
        <x:f>MAX(L67-T67,0)</x:f>
        <x:v>0</x:v>
      </x:c>
    </x:row>
    <x:row r="68">
      <x:c r="A68" t="str">
        <x:v>PR100067</x:v>
      </x:c>
      <x:c r="B68" s="36" t="n">
        <x:v>46200</x:v>
      </x:c>
      <x:c r="C68" t="str">
        <x:v>Operations</x:v>
      </x:c>
      <x:c r="D68" t="str">
        <x:v>PRJ-005</x:v>
      </x:c>
      <x:c r="E68" t="str">
        <x:v>MAT018</x:v>
      </x:c>
      <x:c r="F68" t="str">
        <x:v>Safety Helmet</x:v>
      </x:c>
      <x:c r="G68" t="str">
        <x:v>Safety</x:v>
      </x:c>
      <x:c r="H68" t="str">
        <x:v>EA</x:v>
      </x:c>
      <x:c r="I68" t="str">
        <x:v>SUP007</x:v>
      </x:c>
      <x:c r="J68" t="str">
        <x:v>Precision Tools India</x:v>
      </x:c>
      <x:c r="K68" t="str">
        <x:v>Telangana</x:v>
      </x:c>
      <x:c r="L68" s="40" t="n">
        <x:v>25</x:v>
      </x:c>
      <x:c r="M68" t="str">
        <x:v>PO200067</x:v>
      </x:c>
      <x:c r="N68" s="36" t="n">
        <x:v>46202</x:v>
      </x:c>
      <x:c r="O68" s="38" t="n">
        <x:v>398.56</x:v>
      </x:c>
      <x:c r="P68" t="str">
        <x:v>60 Days</x:v>
      </x:c>
      <x:c r="Q68" t="str">
        <x:v>M. Priya</x:v>
      </x:c>
      <x:c r="R68" s="36" t="n">
        <x:v>46208</x:v>
      </x:c>
      <x:c r="S68" s="36" t="n">
        <x:v>46209</x:v>
      </x:c>
      <x:c r="T68" s="40" t="n">
        <x:v>25</x:v>
      </x:c>
      <x:c r="U68" t="str">
        <x:v>INV300067</x:v>
      </x:c>
      <x:c r="V68" s="36" t="n">
        <x:v>46214</x:v>
      </x:c>
      <x:c r="W68" s="40" t="n">
        <x:v>25</x:v>
      </x:c>
      <x:c r="X68" s="38" t="n">
        <x:v>9964</x:v>
      </x:c>
      <x:c r="Y68" t="str">
        <x:v>Paid</x:v>
      </x:c>
      <x:c r="Z68" s="38" t="n">
        <x:f>ROUND(L68*O68,2)</x:f>
        <x:v>9964</x:v>
      </x:c>
      <x:c r="AA68" t="n">
        <x:f>IF(S68="","",S68-N68)</x:f>
        <x:v>7</x:v>
      </x:c>
      <x:c r="AB68" t="str">
        <x:f>IF(S68="","Open",IF(S68&lt;=R68,"On Time","Late"))</x:f>
        <x:v>Late</x:v>
      </x:c>
      <x:c r="AC68" t="str">
        <x:f>IF(S68="","Open",IF(T68=L68,"Match","Mismatch"))</x:f>
        <x:v>Match</x:v>
      </x:c>
      <x:c r="AD68" t="str">
        <x:f>IF(V68="","Open",IF(ABS(X68-Z68)&lt;=1,"Match","Mismatch"))</x:f>
        <x:v>Match</x:v>
      </x:c>
      <x:c r="AE68" t="str">
        <x:f>IF(OR(AC68="Open",AD68="Open"),"Open",IF(AND(AC68="Match",AD68="Match",W68=T68),"Matched","Exception"))</x:f>
        <x:v>Matched</x:v>
      </x:c>
      <x:c r="AF68" s="40" t="n">
        <x:f>MAX(L68-T68,0)</x:f>
        <x:v>0</x:v>
      </x:c>
    </x:row>
    <x:row r="69">
      <x:c r="A69" t="str">
        <x:v>PR100068</x:v>
      </x:c>
      <x:c r="B69" s="36" t="n">
        <x:v>46053</x:v>
      </x:c>
      <x:c r="C69" t="str">
        <x:v>Operations</x:v>
      </x:c>
      <x:c r="D69" t="str">
        <x:v>PRJ-007</x:v>
      </x:c>
      <x:c r="E69" t="str">
        <x:v>MAT037</x:v>
      </x:c>
      <x:c r="F69" t="str">
        <x:v>Anchor Bolt M16</x:v>
      </x:c>
      <x:c r="G69" t="str">
        <x:v>Hardware</x:v>
      </x:c>
      <x:c r="H69" t="str">
        <x:v>EA</x:v>
      </x:c>
      <x:c r="I69" t="str">
        <x:v>SUP009</x:v>
      </x:c>
      <x:c r="J69" t="str">
        <x:v>Nava Bharat Hardware</x:v>
      </x:c>
      <x:c r="K69" t="str">
        <x:v>Andhra Pradesh</x:v>
      </x:c>
      <x:c r="L69" s="40" t="n">
        <x:v>200</x:v>
      </x:c>
      <x:c r="M69" t="str">
        <x:v>PO200068</x:v>
      </x:c>
      <x:c r="N69" s="36" t="n">
        <x:v>46054</x:v>
      </x:c>
      <x:c r="O69" s="38" t="n">
        <x:v>88.25</x:v>
      </x:c>
      <x:c r="P69" t="str">
        <x:v>30 Days</x:v>
      </x:c>
      <x:c r="Q69" t="str">
        <x:v>M. Priya</x:v>
      </x:c>
      <x:c r="R69" s="36" t="n">
        <x:v>46070</x:v>
      </x:c>
      <x:c r="S69" s="36" t="n">
        <x:v>46067</x:v>
      </x:c>
      <x:c r="T69" s="40" t="n">
        <x:v>200</x:v>
      </x:c>
      <x:c r="U69" t="str">
        <x:v>INV300068</x:v>
      </x:c>
      <x:c r="V69" s="36" t="n">
        <x:v>46071</x:v>
      </x:c>
      <x:c r="W69" s="40" t="n">
        <x:v>200</x:v>
      </x:c>
      <x:c r="X69" s="38" t="n">
        <x:v>17650</x:v>
      </x:c>
      <x:c r="Y69" t="str">
        <x:v>Paid</x:v>
      </x:c>
      <x:c r="Z69" s="38" t="n">
        <x:f>ROUND(L69*O69,2)</x:f>
        <x:v>17650</x:v>
      </x:c>
      <x:c r="AA69" t="n">
        <x:f>IF(S69="","",S69-N69)</x:f>
        <x:v>13</x:v>
      </x:c>
      <x:c r="AB69" t="str">
        <x:f>IF(S69="","Open",IF(S69&lt;=R69,"On Time","Late"))</x:f>
        <x:v>On Time</x:v>
      </x:c>
      <x:c r="AC69" t="str">
        <x:f>IF(S69="","Open",IF(T69=L69,"Match","Mismatch"))</x:f>
        <x:v>Match</x:v>
      </x:c>
      <x:c r="AD69" t="str">
        <x:f>IF(V69="","Open",IF(ABS(X69-Z69)&lt;=1,"Match","Mismatch"))</x:f>
        <x:v>Match</x:v>
      </x:c>
      <x:c r="AE69" t="str">
        <x:f>IF(OR(AC69="Open",AD69="Open"),"Open",IF(AND(AC69="Match",AD69="Match",W69=T69),"Matched","Exception"))</x:f>
        <x:v>Matched</x:v>
      </x:c>
      <x:c r="AF69" s="40" t="n">
        <x:f>MAX(L69-T69,0)</x:f>
        <x:v>0</x:v>
      </x:c>
    </x:row>
    <x:row r="70">
      <x:c r="A70" t="str">
        <x:v>PR100069</x:v>
      </x:c>
      <x:c r="B70" s="36" t="n">
        <x:v>46184</x:v>
      </x:c>
      <x:c r="C70" t="str">
        <x:v>Maintenance</x:v>
      </x:c>
      <x:c r="D70" t="str">
        <x:v>PRJ-004</x:v>
      </x:c>
      <x:c r="E70" t="str">
        <x:v>MAT038</x:v>
      </x:c>
      <x:c r="F70" t="str">
        <x:v>Hex Bolt M12</x:v>
      </x:c>
      <x:c r="G70" t="str">
        <x:v>Hardware</x:v>
      </x:c>
      <x:c r="H70" t="str">
        <x:v>EA</x:v>
      </x:c>
      <x:c r="I70" t="str">
        <x:v>SUP011</x:v>
      </x:c>
      <x:c r="J70" t="str">
        <x:v>Vertex Industrial Supply</x:v>
      </x:c>
      <x:c r="K70" t="str">
        <x:v>Maharashtra</x:v>
      </x:c>
      <x:c r="L70" s="40" t="n">
        <x:v>200</x:v>
      </x:c>
      <x:c r="M70" t="str">
        <x:v>PO200069</x:v>
      </x:c>
      <x:c r="N70" s="36" t="n">
        <x:v>46184</x:v>
      </x:c>
      <x:c r="O70" s="38" t="n">
        <x:v>20.46</x:v>
      </x:c>
      <x:c r="P70" t="str">
        <x:v>60 Days</x:v>
      </x:c>
      <x:c r="Q70" t="str">
        <x:v>M. Priya</x:v>
      </x:c>
      <x:c r="R70" s="36" t="n">
        <x:v>46194</x:v>
      </x:c>
      <x:c r="S70" s="36" t="n">
        <x:v>46193</x:v>
      </x:c>
      <x:c r="T70" s="40" t="n">
        <x:v>200</x:v>
      </x:c>
      <x:c r="U70" t="str">
        <x:v>INV300069</x:v>
      </x:c>
      <x:c r="V70" s="36" t="n">
        <x:v>46196</x:v>
      </x:c>
      <x:c r="W70" s="40" t="n">
        <x:v>200</x:v>
      </x:c>
      <x:c r="X70" s="38" t="n">
        <x:v>4255.68</x:v>
      </x:c>
      <x:c r="Y70" t="str">
        <x:v>Paid</x:v>
      </x:c>
      <x:c r="Z70" s="38" t="n">
        <x:f>ROUND(L70*O70,2)</x:f>
        <x:v>4092</x:v>
      </x:c>
      <x:c r="AA70" t="n">
        <x:f>IF(S70="","",S70-N70)</x:f>
        <x:v>9</x:v>
      </x:c>
      <x:c r="AB70" t="str">
        <x:f>IF(S70="","Open",IF(S70&lt;=R70,"On Time","Late"))</x:f>
        <x:v>On Time</x:v>
      </x:c>
      <x:c r="AC70" t="str">
        <x:f>IF(S70="","Open",IF(T70=L70,"Match","Mismatch"))</x:f>
        <x:v>Match</x:v>
      </x:c>
      <x:c r="AD70" t="str">
        <x:f>IF(V70="","Open",IF(ABS(X70-Z70)&lt;=1,"Match","Mismatch"))</x:f>
        <x:v>Mismatch</x:v>
      </x:c>
      <x:c r="AE70" t="str">
        <x:f>IF(OR(AC70="Open",AD70="Open"),"Open",IF(AND(AC70="Match",AD70="Match",W70=T70),"Matched","Exception"))</x:f>
        <x:v>Exception</x:v>
      </x:c>
      <x:c r="AF70" s="40" t="n">
        <x:f>MAX(L70-T70,0)</x:f>
        <x:v>0</x:v>
      </x:c>
    </x:row>
    <x:row r="71">
      <x:c r="A71" t="str">
        <x:v>PR100070</x:v>
      </x:c>
      <x:c r="B71" s="36" t="n">
        <x:v>46048</x:v>
      </x:c>
      <x:c r="C71" t="str">
        <x:v>Maintenance</x:v>
      </x:c>
      <x:c r="D71" t="str">
        <x:v>PRJ-006</x:v>
      </x:c>
      <x:c r="E71" t="str">
        <x:v>MAT005</x:v>
      </x:c>
      <x:c r="F71" t="str">
        <x:v>TMT Steel Fe500 16mm</x:v>
      </x:c>
      <x:c r="G71" t="str">
        <x:v>Steel</x:v>
      </x:c>
      <x:c r="H71" t="str">
        <x:v>KG</x:v>
      </x:c>
      <x:c r="I71" t="str">
        <x:v>SUP009</x:v>
      </x:c>
      <x:c r="J71" t="str">
        <x:v>Nava Bharat Hardware</x:v>
      </x:c>
      <x:c r="K71" t="str">
        <x:v>Andhra Pradesh</x:v>
      </x:c>
      <x:c r="L71" s="40" t="n">
        <x:v>150</x:v>
      </x:c>
      <x:c r="M71" t="str">
        <x:v>PO200070</x:v>
      </x:c>
      <x:c r="N71" s="36" t="n">
        <x:v>46051</x:v>
      </x:c>
      <x:c r="O71" s="38" t="n">
        <x:v>67.74</x:v>
      </x:c>
      <x:c r="P71" t="str">
        <x:v>30 Days</x:v>
      </x:c>
      <x:c r="Q71" t="str">
        <x:v>R. Sharma</x:v>
      </x:c>
      <x:c r="R71" s="36" t="n">
        <x:v>46062</x:v>
      </x:c>
      <x:c r="S71" s="36" t="n">
        <x:v>46059</x:v>
      </x:c>
      <x:c r="T71" s="40" t="n">
        <x:v>150</x:v>
      </x:c>
      <x:c r="U71" t="str">
        <x:v>INV300070</x:v>
      </x:c>
      <x:c r="V71" s="36" t="n">
        <x:v>46063</x:v>
      </x:c>
      <x:c r="W71" s="40" t="n">
        <x:v>148</x:v>
      </x:c>
      <x:c r="X71" s="38" t="n">
        <x:v>10161</x:v>
      </x:c>
      <x:c r="Y71" t="str">
        <x:v>Blocked for Review</x:v>
      </x:c>
      <x:c r="Z71" s="38" t="n">
        <x:f>ROUND(L71*O71,2)</x:f>
        <x:v>10161</x:v>
      </x:c>
      <x:c r="AA71" t="n">
        <x:f>IF(S71="","",S71-N71)</x:f>
        <x:v>8</x:v>
      </x:c>
      <x:c r="AB71" t="str">
        <x:f>IF(S71="","Open",IF(S71&lt;=R71,"On Time","Late"))</x:f>
        <x:v>On Time</x:v>
      </x:c>
      <x:c r="AC71" t="str">
        <x:f>IF(S71="","Open",IF(T71=L71,"Match","Mismatch"))</x:f>
        <x:v>Match</x:v>
      </x:c>
      <x:c r="AD71" t="str">
        <x:f>IF(V71="","Open",IF(ABS(X71-Z71)&lt;=1,"Match","Mismatch"))</x:f>
        <x:v>Match</x:v>
      </x:c>
      <x:c r="AE71" t="str">
        <x:f>IF(OR(AC71="Open",AD71="Open"),"Open",IF(AND(AC71="Match",AD71="Match",W71=T71),"Matched","Exception"))</x:f>
        <x:v>Exception</x:v>
      </x:c>
      <x:c r="AF71" s="40" t="n">
        <x:f>MAX(L71-T71,0)</x:f>
        <x:v>0</x:v>
      </x:c>
    </x:row>
    <x:row r="72">
      <x:c r="A72" t="str">
        <x:v>PR100071</x:v>
      </x:c>
      <x:c r="B72" s="36" t="n">
        <x:v>46250</x:v>
      </x:c>
      <x:c r="C72" t="str">
        <x:v>Operations</x:v>
      </x:c>
      <x:c r="D72" t="str">
        <x:v>PRJ-006</x:v>
      </x:c>
      <x:c r="E72" t="str">
        <x:v>MAT007</x:v>
      </x:c>
      <x:c r="F72" t="str">
        <x:v>River Sand</x:v>
      </x:c>
      <x:c r="G72" t="str">
        <x:v>Aggregates</x:v>
      </x:c>
      <x:c r="H72" t="str">
        <x:v>TON</x:v>
      </x:c>
      <x:c r="I72" t="str">
        <x:v>SUP003</x:v>
      </x:c>
      <x:c r="J72" t="str">
        <x:v>BuildRight Aggregates</x:v>
      </x:c>
      <x:c r="K72" t="str">
        <x:v>Telangana</x:v>
      </x:c>
      <x:c r="L72" s="40" t="n">
        <x:v>25</x:v>
      </x:c>
      <x:c r="M72" t="str">
        <x:v>PO200071</x:v>
      </x:c>
      <x:c r="N72" s="36" t="n">
        <x:v>46255</x:v>
      </x:c>
      <x:c r="O72" s="38" t="n">
        <x:v>1561.21</x:v>
      </x:c>
      <x:c r="P72" t="str">
        <x:v>60 Days</x:v>
      </x:c>
      <x:c r="Q72" t="str">
        <x:v>S. Kumar</x:v>
      </x:c>
      <x:c r="R72" s="36" t="n">
        <x:v>46260</x:v>
      </x:c>
      <x:c r="S72" s="36" t="n">
        <x:v>46259</x:v>
      </x:c>
      <x:c r="T72" s="40" t="n">
        <x:v>25</x:v>
      </x:c>
      <x:c r="U72" t="str">
        <x:v>INV300071</x:v>
      </x:c>
      <x:c r="V72" s="36" t="n">
        <x:v>46265</x:v>
      </x:c>
      <x:c r="W72" s="40" t="n">
        <x:v>25</x:v>
      </x:c>
      <x:c r="X72" s="38" t="n">
        <x:v>39030.25</x:v>
      </x:c>
      <x:c r="Y72" t="str">
        <x:v>Pending Approval</x:v>
      </x:c>
      <x:c r="Z72" s="38" t="n">
        <x:f>ROUND(L72*O72,2)</x:f>
        <x:v>39030.25</x:v>
      </x:c>
      <x:c r="AA72" t="n">
        <x:f>IF(S72="","",S72-N72)</x:f>
        <x:v>4</x:v>
      </x:c>
      <x:c r="AB72" t="str">
        <x:f>IF(S72="","Open",IF(S72&lt;=R72,"On Time","Late"))</x:f>
        <x:v>On Time</x:v>
      </x:c>
      <x:c r="AC72" t="str">
        <x:f>IF(S72="","Open",IF(T72=L72,"Match","Mismatch"))</x:f>
        <x:v>Match</x:v>
      </x:c>
      <x:c r="AD72" t="str">
        <x:f>IF(V72="","Open",IF(ABS(X72-Z72)&lt;=1,"Match","Mismatch"))</x:f>
        <x:v>Match</x:v>
      </x:c>
      <x:c r="AE72" t="str">
        <x:f>IF(OR(AC72="Open",AD72="Open"),"Open",IF(AND(AC72="Match",AD72="Match",W72=T72),"Matched","Exception"))</x:f>
        <x:v>Matched</x:v>
      </x:c>
      <x:c r="AF72" s="40" t="n">
        <x:f>MAX(L72-T72,0)</x:f>
        <x:v>0</x:v>
      </x:c>
    </x:row>
    <x:row r="73">
      <x:c r="A73" t="str">
        <x:v>PR100072</x:v>
      </x:c>
      <x:c r="B73" s="36" t="n">
        <x:v>46101</x:v>
      </x:c>
      <x:c r="C73" t="str">
        <x:v>Operations</x:v>
      </x:c>
      <x:c r="D73" t="str">
        <x:v>PRJ-006</x:v>
      </x:c>
      <x:c r="E73" t="str">
        <x:v>MAT016</x:v>
      </x:c>
      <x:c r="F73" t="str">
        <x:v>MCB 32A</x:v>
      </x:c>
      <x:c r="G73" t="str">
        <x:v>Electrical</x:v>
      </x:c>
      <x:c r="H73" t="str">
        <x:v>EA</x:v>
      </x:c>
      <x:c r="I73" t="str">
        <x:v>SUP004</x:v>
      </x:c>
      <x:c r="J73" t="str">
        <x:v>Southline Electricals</x:v>
      </x:c>
      <x:c r="K73" t="str">
        <x:v>Telangana</x:v>
      </x:c>
      <x:c r="L73" s="40" t="n">
        <x:v>200</x:v>
      </x:c>
      <x:c r="M73" t="str">
        <x:v>PO200072</x:v>
      </x:c>
      <x:c r="N73" s="36" t="n">
        <x:v>46103</x:v>
      </x:c>
      <x:c r="O73" s="38" t="n">
        <x:v>492.71</x:v>
      </x:c>
      <x:c r="P73" t="str">
        <x:v>30 Days</x:v>
      </x:c>
      <x:c r="Q73" t="str">
        <x:v>R. Sharma</x:v>
      </x:c>
      <x:c r="R73" s="36" t="n">
        <x:v>46109</x:v>
      </x:c>
      <x:c r="S73" s="36" t="n">
        <x:v>46117</x:v>
      </x:c>
      <x:c r="T73" s="40" t="n">
        <x:v>200</x:v>
      </x:c>
      <x:c r="U73" t="str">
        <x:v>INV300072</x:v>
      </x:c>
      <x:c r="V73" s="36" t="n">
        <x:v>46122</x:v>
      </x:c>
      <x:c r="W73" s="40" t="n">
        <x:v>200</x:v>
      </x:c>
      <x:c r="X73" s="38" t="n">
        <x:v>98542</x:v>
      </x:c>
      <x:c r="Y73" t="str">
        <x:v>Blocked for Review</x:v>
      </x:c>
      <x:c r="Z73" s="38" t="n">
        <x:f>ROUND(L73*O73,2)</x:f>
        <x:v>98542</x:v>
      </x:c>
      <x:c r="AA73" t="n">
        <x:f>IF(S73="","",S73-N73)</x:f>
        <x:v>14</x:v>
      </x:c>
      <x:c r="AB73" t="str">
        <x:f>IF(S73="","Open",IF(S73&lt;=R73,"On Time","Late"))</x:f>
        <x:v>Late</x:v>
      </x:c>
      <x:c r="AC73" t="str">
        <x:f>IF(S73="","Open",IF(T73=L73,"Match","Mismatch"))</x:f>
        <x:v>Match</x:v>
      </x:c>
      <x:c r="AD73" t="str">
        <x:f>IF(V73="","Open",IF(ABS(X73-Z73)&lt;=1,"Match","Mismatch"))</x:f>
        <x:v>Match</x:v>
      </x:c>
      <x:c r="AE73" t="str">
        <x:f>IF(OR(AC73="Open",AD73="Open"),"Open",IF(AND(AC73="Match",AD73="Match",W73=T73),"Matched","Exception"))</x:f>
        <x:v>Matched</x:v>
      </x:c>
      <x:c r="AF73" s="40" t="n">
        <x:f>MAX(L73-T73,0)</x:f>
        <x:v>0</x:v>
      </x:c>
    </x:row>
    <x:row r="74">
      <x:c r="A74" t="str">
        <x:v>PR100073</x:v>
      </x:c>
      <x:c r="B74" s="36" t="n">
        <x:v>46253</x:v>
      </x:c>
      <x:c r="C74" t="str">
        <x:v>Maintenance</x:v>
      </x:c>
      <x:c r="D74" t="str">
        <x:v>PRJ-008</x:v>
      </x:c>
      <x:c r="E74" t="str">
        <x:v>MAT005</x:v>
      </x:c>
      <x:c r="F74" t="str">
        <x:v>TMT Steel Fe500 16mm</x:v>
      </x:c>
      <x:c r="G74" t="str">
        <x:v>Steel</x:v>
      </x:c>
      <x:c r="H74" t="str">
        <x:v>KG</x:v>
      </x:c>
      <x:c r="I74" t="str">
        <x:v>SUP009</x:v>
      </x:c>
      <x:c r="J74" t="str">
        <x:v>Nava Bharat Hardware</x:v>
      </x:c>
      <x:c r="K74" t="str">
        <x:v>Andhra Pradesh</x:v>
      </x:c>
      <x:c r="L74" s="40" t="n">
        <x:v>100</x:v>
      </x:c>
      <x:c r="M74" t="str">
        <x:v>PO200073</x:v>
      </x:c>
      <x:c r="N74" s="36" t="n">
        <x:v>46256</x:v>
      </x:c>
      <x:c r="O74" s="38" t="n">
        <x:v>61.95</x:v>
      </x:c>
      <x:c r="P74" t="str">
        <x:v>30 Days</x:v>
      </x:c>
      <x:c r="Q74" t="str">
        <x:v>A. Reddy</x:v>
      </x:c>
      <x:c r="R74" s="36" t="n">
        <x:v>46269</x:v>
      </x:c>
      <x:c r="S74" s="36"/>
      <x:c r="T74" s="40" t="n">
        <x:v>0</x:v>
      </x:c>
      <x:c r="U74" t="str"/>
      <x:c r="V74" s="36"/>
      <x:c r="W74" s="40" t="n">
        <x:v>0</x:v>
      </x:c>
      <x:c r="X74" s="38" t="str"/>
      <x:c r="Y74" t="str">
        <x:v>Open PO</x:v>
      </x:c>
      <x:c r="Z74" s="38" t="n">
        <x:f>ROUND(L74*O74,2)</x:f>
        <x:v>6195</x:v>
      </x:c>
      <x:c r="AA74" t="str">
        <x:f>IF(S74="","",S74-N74)</x:f>
      </x:c>
      <x:c r="AB74" t="str">
        <x:f>IF(S74="","Open",IF(S74&lt;=R74,"On Time","Late"))</x:f>
        <x:v>Open</x:v>
      </x:c>
      <x:c r="AC74" t="str">
        <x:f>IF(S74="","Open",IF(T74=L74,"Match","Mismatch"))</x:f>
        <x:v>Open</x:v>
      </x:c>
      <x:c r="AD74" t="str">
        <x:f>IF(V74="","Open",IF(ABS(X74-Z74)&lt;=1,"Match","Mismatch"))</x:f>
        <x:v>Open</x:v>
      </x:c>
      <x:c r="AE74" t="str">
        <x:f>IF(OR(AC74="Open",AD74="Open"),"Open",IF(AND(AC74="Match",AD74="Match",W74=T74),"Matched","Exception"))</x:f>
        <x:v>Open</x:v>
      </x:c>
      <x:c r="AF74" s="40" t="n">
        <x:f>MAX(L74-T74,0)</x:f>
        <x:v>100</x:v>
      </x:c>
    </x:row>
    <x:row r="75">
      <x:c r="A75" t="str">
        <x:v>PR100074</x:v>
      </x:c>
      <x:c r="B75" s="36" t="n">
        <x:v>46066</x:v>
      </x:c>
      <x:c r="C75" t="str">
        <x:v>Facilities</x:v>
      </x:c>
      <x:c r="D75" t="str">
        <x:v>PRJ-001</x:v>
      </x:c>
      <x:c r="E75" t="str">
        <x:v>MAT024</x:v>
      </x:c>
      <x:c r="F75" t="str">
        <x:v>Binding Wire</x:v>
      </x:c>
      <x:c r="G75" t="str">
        <x:v>Steel</x:v>
      </x:c>
      <x:c r="H75" t="str">
        <x:v>KG</x:v>
      </x:c>
      <x:c r="I75" t="str">
        <x:v>SUP009</x:v>
      </x:c>
      <x:c r="J75" t="str">
        <x:v>Nava Bharat Hardware</x:v>
      </x:c>
      <x:c r="K75" t="str">
        <x:v>Andhra Pradesh</x:v>
      </x:c>
      <x:c r="L75" s="40" t="n">
        <x:v>1500</x:v>
      </x:c>
      <x:c r="M75" t="str">
        <x:v>PO200074</x:v>
      </x:c>
      <x:c r="N75" s="36" t="n">
        <x:v>46069</x:v>
      </x:c>
      <x:c r="O75" s="38" t="n">
        <x:v>81.11</x:v>
      </x:c>
      <x:c r="P75" t="str">
        <x:v>45 Days</x:v>
      </x:c>
      <x:c r="Q75" t="str">
        <x:v>A. Reddy</x:v>
      </x:c>
      <x:c r="R75" s="36" t="n">
        <x:v>46082</x:v>
      </x:c>
      <x:c r="S75" s="36" t="n">
        <x:v>46082</x:v>
      </x:c>
      <x:c r="T75" s="40" t="n">
        <x:v>1500</x:v>
      </x:c>
      <x:c r="U75" t="str">
        <x:v>INV300074</x:v>
      </x:c>
      <x:c r="V75" s="36" t="n">
        <x:v>46089</x:v>
      </x:c>
      <x:c r="W75" s="40" t="n">
        <x:v>1500</x:v>
      </x:c>
      <x:c r="X75" s="38" t="n">
        <x:v>121665</x:v>
      </x:c>
      <x:c r="Y75" t="str">
        <x:v>Paid</x:v>
      </x:c>
      <x:c r="Z75" s="38" t="n">
        <x:f>ROUND(L75*O75,2)</x:f>
        <x:v>121665</x:v>
      </x:c>
      <x:c r="AA75" t="n">
        <x:f>IF(S75="","",S75-N75)</x:f>
        <x:v>13</x:v>
      </x:c>
      <x:c r="AB75" t="str">
        <x:f>IF(S75="","Open",IF(S75&lt;=R75,"On Time","Late"))</x:f>
        <x:v>On Time</x:v>
      </x:c>
      <x:c r="AC75" t="str">
        <x:f>IF(S75="","Open",IF(T75=L75,"Match","Mismatch"))</x:f>
        <x:v>Match</x:v>
      </x:c>
      <x:c r="AD75" t="str">
        <x:f>IF(V75="","Open",IF(ABS(X75-Z75)&lt;=1,"Match","Mismatch"))</x:f>
        <x:v>Match</x:v>
      </x:c>
      <x:c r="AE75" t="str">
        <x:f>IF(OR(AC75="Open",AD75="Open"),"Open",IF(AND(AC75="Match",AD75="Match",W75=T75),"Matched","Exception"))</x:f>
        <x:v>Matched</x:v>
      </x:c>
      <x:c r="AF75" s="40" t="n">
        <x:f>MAX(L75-T75,0)</x:f>
        <x:v>0</x:v>
      </x:c>
    </x:row>
    <x:row r="76">
      <x:c r="A76" t="str">
        <x:v>PR100075</x:v>
      </x:c>
      <x:c r="B76" s="36" t="n">
        <x:v>46285</x:v>
      </x:c>
      <x:c r="C76" t="str">
        <x:v>Civil Projects</x:v>
      </x:c>
      <x:c r="D76" t="str">
        <x:v>PRJ-006</x:v>
      </x:c>
      <x:c r="E76" t="str">
        <x:v>MAT022</x:v>
      </x:c>
      <x:c r="F76" t="str">
        <x:v>Hammer Drill</x:v>
      </x:c>
      <x:c r="G76" t="str">
        <x:v>Tools</x:v>
      </x:c>
      <x:c r="H76" t="str">
        <x:v>EA</x:v>
      </x:c>
      <x:c r="I76" t="str">
        <x:v>SUP007</x:v>
      </x:c>
      <x:c r="J76" t="str">
        <x:v>Precision Tools India</x:v>
      </x:c>
      <x:c r="K76" t="str">
        <x:v>Telangana</x:v>
      </x:c>
      <x:c r="L76" s="40" t="n">
        <x:v>100</x:v>
      </x:c>
      <x:c r="M76" t="str">
        <x:v>PO200075</x:v>
      </x:c>
      <x:c r="N76" s="36" t="n">
        <x:v>46286</x:v>
      </x:c>
      <x:c r="O76" s="38" t="n">
        <x:v>7468.97</x:v>
      </x:c>
      <x:c r="P76" t="str">
        <x:v>30 Days</x:v>
      </x:c>
      <x:c r="Q76" t="str">
        <x:v>M. Priya</x:v>
      </x:c>
      <x:c r="R76" s="36" t="n">
        <x:v>46293</x:v>
      </x:c>
      <x:c r="S76" s="36" t="n">
        <x:v>46291</x:v>
      </x:c>
      <x:c r="T76" s="40" t="n">
        <x:v>100</x:v>
      </x:c>
      <x:c r="U76" t="str">
        <x:v>INV300075</x:v>
      </x:c>
      <x:c r="V76" s="36" t="n">
        <x:v>46294</x:v>
      </x:c>
      <x:c r="W76" s="40" t="n">
        <x:v>100</x:v>
      </x:c>
      <x:c r="X76" s="38" t="n">
        <x:v>746897</x:v>
      </x:c>
      <x:c r="Y76" t="str">
        <x:v>Paid</x:v>
      </x:c>
      <x:c r="Z76" s="38" t="n">
        <x:f>ROUND(L76*O76,2)</x:f>
        <x:v>746897</x:v>
      </x:c>
      <x:c r="AA76" t="n">
        <x:f>IF(S76="","",S76-N76)</x:f>
        <x:v>5</x:v>
      </x:c>
      <x:c r="AB76" t="str">
        <x:f>IF(S76="","Open",IF(S76&lt;=R76,"On Time","Late"))</x:f>
        <x:v>On Time</x:v>
      </x:c>
      <x:c r="AC76" t="str">
        <x:f>IF(S76="","Open",IF(T76=L76,"Match","Mismatch"))</x:f>
        <x:v>Match</x:v>
      </x:c>
      <x:c r="AD76" t="str">
        <x:f>IF(V76="","Open",IF(ABS(X76-Z76)&lt;=1,"Match","Mismatch"))</x:f>
        <x:v>Match</x:v>
      </x:c>
      <x:c r="AE76" t="str">
        <x:f>IF(OR(AC76="Open",AD76="Open"),"Open",IF(AND(AC76="Match",AD76="Match",W76=T76),"Matched","Exception"))</x:f>
        <x:v>Matched</x:v>
      </x:c>
      <x:c r="AF76" s="40" t="n">
        <x:f>MAX(L76-T76,0)</x:f>
        <x:v>0</x:v>
      </x:c>
    </x:row>
    <x:row r="77">
      <x:c r="A77" t="str">
        <x:v>PR100076</x:v>
      </x:c>
      <x:c r="B77" s="36" t="n">
        <x:v>46172</x:v>
      </x:c>
      <x:c r="C77" t="str">
        <x:v>Civil Projects</x:v>
      </x:c>
      <x:c r="D77" t="str">
        <x:v>PRJ-005</x:v>
      </x:c>
      <x:c r="E77" t="str">
        <x:v>MAT007</x:v>
      </x:c>
      <x:c r="F77" t="str">
        <x:v>River Sand</x:v>
      </x:c>
      <x:c r="G77" t="str">
        <x:v>Aggregates</x:v>
      </x:c>
      <x:c r="H77" t="str">
        <x:v>TON</x:v>
      </x:c>
      <x:c r="I77" t="str">
        <x:v>SUP012</x:v>
      </x:c>
      <x:c r="J77" t="str">
        <x:v>GreenField Construction Supply</x:v>
      </x:c>
      <x:c r="K77" t="str">
        <x:v>Telangana</x:v>
      </x:c>
      <x:c r="L77" s="40" t="n">
        <x:v>10</x:v>
      </x:c>
      <x:c r="M77" t="str">
        <x:v>PO200076</x:v>
      </x:c>
      <x:c r="N77" s="36" t="n">
        <x:v>46176</x:v>
      </x:c>
      <x:c r="O77" s="38" t="n">
        <x:v>1421.01</x:v>
      </x:c>
      <x:c r="P77" t="str">
        <x:v>60 Days</x:v>
      </x:c>
      <x:c r="Q77" t="str">
        <x:v>R. Sharma</x:v>
      </x:c>
      <x:c r="R77" s="36" t="n">
        <x:v>46193</x:v>
      </x:c>
      <x:c r="S77" s="36" t="n">
        <x:v>46199</x:v>
      </x:c>
      <x:c r="T77" s="40" t="n">
        <x:v>10</x:v>
      </x:c>
      <x:c r="U77" t="str">
        <x:v>INV300076</x:v>
      </x:c>
      <x:c r="V77" s="36" t="n">
        <x:v>46205</x:v>
      </x:c>
      <x:c r="W77" s="40" t="n">
        <x:v>10</x:v>
      </x:c>
      <x:c r="X77" s="38" t="n">
        <x:v>14210.1</x:v>
      </x:c>
      <x:c r="Y77" t="str">
        <x:v>Paid</x:v>
      </x:c>
      <x:c r="Z77" s="38" t="n">
        <x:f>ROUND(L77*O77,2)</x:f>
        <x:v>14210.1</x:v>
      </x:c>
      <x:c r="AA77" t="n">
        <x:f>IF(S77="","",S77-N77)</x:f>
        <x:v>23</x:v>
      </x:c>
      <x:c r="AB77" t="str">
        <x:f>IF(S77="","Open",IF(S77&lt;=R77,"On Time","Late"))</x:f>
        <x:v>Late</x:v>
      </x:c>
      <x:c r="AC77" t="str">
        <x:f>IF(S77="","Open",IF(T77=L77,"Match","Mismatch"))</x:f>
        <x:v>Match</x:v>
      </x:c>
      <x:c r="AD77" t="str">
        <x:f>IF(V77="","Open",IF(ABS(X77-Z77)&lt;=1,"Match","Mismatch"))</x:f>
        <x:v>Match</x:v>
      </x:c>
      <x:c r="AE77" t="str">
        <x:f>IF(OR(AC77="Open",AD77="Open"),"Open",IF(AND(AC77="Match",AD77="Match",W77=T77),"Matched","Exception"))</x:f>
        <x:v>Matched</x:v>
      </x:c>
      <x:c r="AF77" s="40" t="n">
        <x:f>MAX(L77-T77,0)</x:f>
        <x:v>0</x:v>
      </x:c>
    </x:row>
    <x:row r="78">
      <x:c r="A78" t="str">
        <x:v>PR100077</x:v>
      </x:c>
      <x:c r="B78" s="36" t="n">
        <x:v>46074</x:v>
      </x:c>
      <x:c r="C78" t="str">
        <x:v>Civil Projects</x:v>
      </x:c>
      <x:c r="D78" t="str">
        <x:v>PRJ-006</x:v>
      </x:c>
      <x:c r="E78" t="str">
        <x:v>MAT022</x:v>
      </x:c>
      <x:c r="F78" t="str">
        <x:v>Hammer Drill</x:v>
      </x:c>
      <x:c r="G78" t="str">
        <x:v>Tools</x:v>
      </x:c>
      <x:c r="H78" t="str">
        <x:v>EA</x:v>
      </x:c>
      <x:c r="I78" t="str">
        <x:v>SUP007</x:v>
      </x:c>
      <x:c r="J78" t="str">
        <x:v>Precision Tools India</x:v>
      </x:c>
      <x:c r="K78" t="str">
        <x:v>Telangana</x:v>
      </x:c>
      <x:c r="L78" s="40" t="n">
        <x:v>10</x:v>
      </x:c>
      <x:c r="M78" t="str">
        <x:v>PO200077</x:v>
      </x:c>
      <x:c r="N78" s="36" t="n">
        <x:v>46079</x:v>
      </x:c>
      <x:c r="O78" s="38" t="n">
        <x:v>6699.82</x:v>
      </x:c>
      <x:c r="P78" t="str">
        <x:v>60 Days</x:v>
      </x:c>
      <x:c r="Q78" t="str">
        <x:v>S. Kumar</x:v>
      </x:c>
      <x:c r="R78" s="36" t="n">
        <x:v>46088</x:v>
      </x:c>
      <x:c r="S78" s="36" t="n">
        <x:v>46085</x:v>
      </x:c>
      <x:c r="T78" s="40" t="n">
        <x:v>10</x:v>
      </x:c>
      <x:c r="U78" t="str">
        <x:v>INV300077</x:v>
      </x:c>
      <x:c r="V78" s="36" t="n">
        <x:v>46087</x:v>
      </x:c>
      <x:c r="W78" s="40" t="n">
        <x:v>10</x:v>
      </x:c>
      <x:c r="X78" s="38" t="n">
        <x:v>66998.2</x:v>
      </x:c>
      <x:c r="Y78" t="str">
        <x:v>Pending Approval</x:v>
      </x:c>
      <x:c r="Z78" s="38" t="n">
        <x:f>ROUND(L78*O78,2)</x:f>
        <x:v>66998.2</x:v>
      </x:c>
      <x:c r="AA78" t="n">
        <x:f>IF(S78="","",S78-N78)</x:f>
        <x:v>6</x:v>
      </x:c>
      <x:c r="AB78" t="str">
        <x:f>IF(S78="","Open",IF(S78&lt;=R78,"On Time","Late"))</x:f>
        <x:v>On Time</x:v>
      </x:c>
      <x:c r="AC78" t="str">
        <x:f>IF(S78="","Open",IF(T78=L78,"Match","Mismatch"))</x:f>
        <x:v>Match</x:v>
      </x:c>
      <x:c r="AD78" t="str">
        <x:f>IF(V78="","Open",IF(ABS(X78-Z78)&lt;=1,"Match","Mismatch"))</x:f>
        <x:v>Match</x:v>
      </x:c>
      <x:c r="AE78" t="str">
        <x:f>IF(OR(AC78="Open",AD78="Open"),"Open",IF(AND(AC78="Match",AD78="Match",W78=T78),"Matched","Exception"))</x:f>
        <x:v>Matched</x:v>
      </x:c>
      <x:c r="AF78" s="40" t="n">
        <x:f>MAX(L78-T78,0)</x:f>
        <x:v>0</x:v>
      </x:c>
    </x:row>
    <x:row r="79">
      <x:c r="A79" t="str">
        <x:v>PR100078</x:v>
      </x:c>
      <x:c r="B79" s="36" t="n">
        <x:v>46105</x:v>
      </x:c>
      <x:c r="C79" t="str">
        <x:v>Maintenance</x:v>
      </x:c>
      <x:c r="D79" t="str">
        <x:v>PRJ-004</x:v>
      </x:c>
      <x:c r="E79" t="str">
        <x:v>MAT039</x:v>
      </x:c>
      <x:c r="F79" t="str">
        <x:v>Door Hinge SS</x:v>
      </x:c>
      <x:c r="G79" t="str">
        <x:v>Hardware</x:v>
      </x:c>
      <x:c r="H79" t="str">
        <x:v>PAIR</x:v>
      </x:c>
      <x:c r="I79" t="str">
        <x:v>SUP011</x:v>
      </x:c>
      <x:c r="J79" t="str">
        <x:v>Vertex Industrial Supply</x:v>
      </x:c>
      <x:c r="K79" t="str">
        <x:v>Maharashtra</x:v>
      </x:c>
      <x:c r="L79" s="40" t="n">
        <x:v>200</x:v>
      </x:c>
      <x:c r="M79" t="str">
        <x:v>PO200078</x:v>
      </x:c>
      <x:c r="N79" s="36" t="n">
        <x:v>46106</x:v>
      </x:c>
      <x:c r="O79" s="38" t="n">
        <x:v>404.94</x:v>
      </x:c>
      <x:c r="P79" t="str">
        <x:v>60 Days</x:v>
      </x:c>
      <x:c r="Q79" t="str">
        <x:v>S. Kumar</x:v>
      </x:c>
      <x:c r="R79" s="36" t="n">
        <x:v>46123</x:v>
      </x:c>
      <x:c r="S79" s="36" t="n">
        <x:v>46120</x:v>
      </x:c>
      <x:c r="T79" s="40" t="n">
        <x:v>200</x:v>
      </x:c>
      <x:c r="U79" t="str">
        <x:v>INV300078</x:v>
      </x:c>
      <x:c r="V79" s="36" t="n">
        <x:v>46126</x:v>
      </x:c>
      <x:c r="W79" s="40" t="n">
        <x:v>200</x:v>
      </x:c>
      <x:c r="X79" s="38" t="n">
        <x:v>80988</x:v>
      </x:c>
      <x:c r="Y79" t="str">
        <x:v>Paid</x:v>
      </x:c>
      <x:c r="Z79" s="38" t="n">
        <x:f>ROUND(L79*O79,2)</x:f>
        <x:v>80988</x:v>
      </x:c>
      <x:c r="AA79" t="n">
        <x:f>IF(S79="","",S79-N79)</x:f>
        <x:v>14</x:v>
      </x:c>
      <x:c r="AB79" t="str">
        <x:f>IF(S79="","Open",IF(S79&lt;=R79,"On Time","Late"))</x:f>
        <x:v>On Time</x:v>
      </x:c>
      <x:c r="AC79" t="str">
        <x:f>IF(S79="","Open",IF(T79=L79,"Match","Mismatch"))</x:f>
        <x:v>Match</x:v>
      </x:c>
      <x:c r="AD79" t="str">
        <x:f>IF(V79="","Open",IF(ABS(X79-Z79)&lt;=1,"Match","Mismatch"))</x:f>
        <x:v>Match</x:v>
      </x:c>
      <x:c r="AE79" t="str">
        <x:f>IF(OR(AC79="Open",AD79="Open"),"Open",IF(AND(AC79="Match",AD79="Match",W79=T79),"Matched","Exception"))</x:f>
        <x:v>Matched</x:v>
      </x:c>
      <x:c r="AF79" s="40" t="n">
        <x:f>MAX(L79-T79,0)</x:f>
        <x:v>0</x:v>
      </x:c>
    </x:row>
    <x:row r="80">
      <x:c r="A80" t="str">
        <x:v>PR100079</x:v>
      </x:c>
      <x:c r="B80" s="36" t="n">
        <x:v>46126</x:v>
      </x:c>
      <x:c r="C80" t="str">
        <x:v>Civil Projects</x:v>
      </x:c>
      <x:c r="D80" t="str">
        <x:v>PRJ-008</x:v>
      </x:c>
      <x:c r="E80" t="str">
        <x:v>MAT020</x:v>
      </x:c>
      <x:c r="F80" t="str">
        <x:v>Safety Shoes</x:v>
      </x:c>
      <x:c r="G80" t="str">
        <x:v>Safety</x:v>
      </x:c>
      <x:c r="H80" t="str">
        <x:v>PAIR</x:v>
      </x:c>
      <x:c r="I80" t="str">
        <x:v>SUP007</x:v>
      </x:c>
      <x:c r="J80" t="str">
        <x:v>Precision Tools India</x:v>
      </x:c>
      <x:c r="K80" t="str">
        <x:v>Telangana</x:v>
      </x:c>
      <x:c r="L80" s="40" t="n">
        <x:v>100</x:v>
      </x:c>
      <x:c r="M80" t="str">
        <x:v>PO200079</x:v>
      </x:c>
      <x:c r="N80" s="36" t="n">
        <x:v>46130</x:v>
      </x:c>
      <x:c r="O80" s="38" t="n">
        <x:v>1534.82</x:v>
      </x:c>
      <x:c r="P80" t="str">
        <x:v>45 Days</x:v>
      </x:c>
      <x:c r="Q80" t="str">
        <x:v>A. Reddy</x:v>
      </x:c>
      <x:c r="R80" s="36" t="n">
        <x:v>46141</x:v>
      </x:c>
      <x:c r="S80" s="36" t="n">
        <x:v>46138</x:v>
      </x:c>
      <x:c r="T80" s="40" t="n">
        <x:v>100</x:v>
      </x:c>
      <x:c r="U80" t="str">
        <x:v>INV300079</x:v>
      </x:c>
      <x:c r="V80" s="36" t="n">
        <x:v>46145</x:v>
      </x:c>
      <x:c r="W80" s="40" t="n">
        <x:v>100</x:v>
      </x:c>
      <x:c r="X80" s="38" t="n">
        <x:v>153482</x:v>
      </x:c>
      <x:c r="Y80" t="str">
        <x:v>Pending Approval</x:v>
      </x:c>
      <x:c r="Z80" s="38" t="n">
        <x:f>ROUND(L80*O80,2)</x:f>
        <x:v>153482</x:v>
      </x:c>
      <x:c r="AA80" t="n">
        <x:f>IF(S80="","",S80-N80)</x:f>
        <x:v>8</x:v>
      </x:c>
      <x:c r="AB80" t="str">
        <x:f>IF(S80="","Open",IF(S80&lt;=R80,"On Time","Late"))</x:f>
        <x:v>On Time</x:v>
      </x:c>
      <x:c r="AC80" t="str">
        <x:f>IF(S80="","Open",IF(T80=L80,"Match","Mismatch"))</x:f>
        <x:v>Match</x:v>
      </x:c>
      <x:c r="AD80" t="str">
        <x:f>IF(V80="","Open",IF(ABS(X80-Z80)&lt;=1,"Match","Mismatch"))</x:f>
        <x:v>Match</x:v>
      </x:c>
      <x:c r="AE80" t="str">
        <x:f>IF(OR(AC80="Open",AD80="Open"),"Open",IF(AND(AC80="Match",AD80="Match",W80=T80),"Matched","Exception"))</x:f>
        <x:v>Matched</x:v>
      </x:c>
      <x:c r="AF80" s="40" t="n">
        <x:f>MAX(L80-T80,0)</x:f>
        <x:v>0</x:v>
      </x:c>
    </x:row>
    <x:row r="81">
      <x:c r="A81" t="str">
        <x:v>PR100080</x:v>
      </x:c>
      <x:c r="B81" s="36" t="n">
        <x:v>46172</x:v>
      </x:c>
      <x:c r="C81" t="str">
        <x:v>Operations</x:v>
      </x:c>
      <x:c r="D81" t="str">
        <x:v>PRJ-004</x:v>
      </x:c>
      <x:c r="E81" t="str">
        <x:v>MAT034</x:v>
      </x:c>
      <x:c r="F81" t="str">
        <x:v>Industrial Adhesive</x:v>
      </x:c>
      <x:c r="G81" t="str">
        <x:v>Consumables</x:v>
      </x:c>
      <x:c r="H81" t="str">
        <x:v>KG</x:v>
      </x:c>
      <x:c r="I81" t="str">
        <x:v>SUP007</x:v>
      </x:c>
      <x:c r="J81" t="str">
        <x:v>Precision Tools India</x:v>
      </x:c>
      <x:c r="K81" t="str">
        <x:v>Telangana</x:v>
      </x:c>
      <x:c r="L81" s="40" t="n">
        <x:v>1000</x:v>
      </x:c>
      <x:c r="M81" t="str">
        <x:v>PO200080</x:v>
      </x:c>
      <x:c r="N81" s="36" t="n">
        <x:v>46173</x:v>
      </x:c>
      <x:c r="O81" s="38" t="n">
        <x:v>454.84</x:v>
      </x:c>
      <x:c r="P81" t="str">
        <x:v>45 Days</x:v>
      </x:c>
      <x:c r="Q81" t="str">
        <x:v>A. Reddy</x:v>
      </x:c>
      <x:c r="R81" s="36" t="n">
        <x:v>46181</x:v>
      </x:c>
      <x:c r="S81" s="36" t="n">
        <x:v>46180</x:v>
      </x:c>
      <x:c r="T81" s="40" t="n">
        <x:v>1000</x:v>
      </x:c>
      <x:c r="U81" t="str">
        <x:v>INV300080</x:v>
      </x:c>
      <x:c r="V81" s="36" t="n">
        <x:v>46183</x:v>
      </x:c>
      <x:c r="W81" s="40" t="n">
        <x:v>1000</x:v>
      </x:c>
      <x:c r="X81" s="38" t="n">
        <x:v>454840</x:v>
      </x:c>
      <x:c r="Y81" t="str">
        <x:v>Paid</x:v>
      </x:c>
      <x:c r="Z81" s="38" t="n">
        <x:f>ROUND(L81*O81,2)</x:f>
        <x:v>454840</x:v>
      </x:c>
      <x:c r="AA81" t="n">
        <x:f>IF(S81="","",S81-N81)</x:f>
        <x:v>7</x:v>
      </x:c>
      <x:c r="AB81" t="str">
        <x:f>IF(S81="","Open",IF(S81&lt;=R81,"On Time","Late"))</x:f>
        <x:v>On Time</x:v>
      </x:c>
      <x:c r="AC81" t="str">
        <x:f>IF(S81="","Open",IF(T81=L81,"Match","Mismatch"))</x:f>
        <x:v>Match</x:v>
      </x:c>
      <x:c r="AD81" t="str">
        <x:f>IF(V81="","Open",IF(ABS(X81-Z81)&lt;=1,"Match","Mismatch"))</x:f>
        <x:v>Match</x:v>
      </x:c>
      <x:c r="AE81" t="str">
        <x:f>IF(OR(AC81="Open",AD81="Open"),"Open",IF(AND(AC81="Match",AD81="Match",W81=T81),"Matched","Exception"))</x:f>
        <x:v>Matched</x:v>
      </x:c>
      <x:c r="AF81" s="40" t="n">
        <x:f>MAX(L81-T81,0)</x:f>
        <x:v>0</x:v>
      </x:c>
    </x:row>
    <x:row r="82">
      <x:c r="A82" t="str">
        <x:v>PR100081</x:v>
      </x:c>
      <x:c r="B82" s="36" t="n">
        <x:v>46041</x:v>
      </x:c>
      <x:c r="C82" t="str">
        <x:v>Civil Projects</x:v>
      </x:c>
      <x:c r="D82" t="str">
        <x:v>PRJ-001</x:v>
      </x:c>
      <x:c r="E82" t="str">
        <x:v>MAT024</x:v>
      </x:c>
      <x:c r="F82" t="str">
        <x:v>Binding Wire</x:v>
      </x:c>
      <x:c r="G82" t="str">
        <x:v>Steel</x:v>
      </x:c>
      <x:c r="H82" t="str">
        <x:v>KG</x:v>
      </x:c>
      <x:c r="I82" t="str">
        <x:v>SUP002</x:v>
      </x:c>
      <x:c r="J82" t="str">
        <x:v>Metro Steel Traders</x:v>
      </x:c>
      <x:c r="K82" t="str">
        <x:v>Telangana</x:v>
      </x:c>
      <x:c r="L82" s="40" t="n">
        <x:v>500</x:v>
      </x:c>
      <x:c r="M82" t="str">
        <x:v>PO200081</x:v>
      </x:c>
      <x:c r="N82" s="36" t="n">
        <x:v>46043</x:v>
      </x:c>
      <x:c r="O82" s="38" t="n">
        <x:v>87.12</x:v>
      </x:c>
      <x:c r="P82" t="str">
        <x:v>45 Days</x:v>
      </x:c>
      <x:c r="Q82" t="str">
        <x:v>S. Kumar</x:v>
      </x:c>
      <x:c r="R82" s="36" t="n">
        <x:v>46060</x:v>
      </x:c>
      <x:c r="S82" s="36" t="n">
        <x:v>46057</x:v>
      </x:c>
      <x:c r="T82" s="40" t="n">
        <x:v>500</x:v>
      </x:c>
      <x:c r="U82" t="str">
        <x:v>INV300081</x:v>
      </x:c>
      <x:c r="V82" s="36" t="n">
        <x:v>46059</x:v>
      </x:c>
      <x:c r="W82" s="40" t="n">
        <x:v>500</x:v>
      </x:c>
      <x:c r="X82" s="38" t="n">
        <x:v>43560</x:v>
      </x:c>
      <x:c r="Y82" t="str">
        <x:v>Paid</x:v>
      </x:c>
      <x:c r="Z82" s="38" t="n">
        <x:f>ROUND(L82*O82,2)</x:f>
        <x:v>43560</x:v>
      </x:c>
      <x:c r="AA82" t="n">
        <x:f>IF(S82="","",S82-N82)</x:f>
        <x:v>14</x:v>
      </x:c>
      <x:c r="AB82" t="str">
        <x:f>IF(S82="","Open",IF(S82&lt;=R82,"On Time","Late"))</x:f>
        <x:v>On Time</x:v>
      </x:c>
      <x:c r="AC82" t="str">
        <x:f>IF(S82="","Open",IF(T82=L82,"Match","Mismatch"))</x:f>
        <x:v>Match</x:v>
      </x:c>
      <x:c r="AD82" t="str">
        <x:f>IF(V82="","Open",IF(ABS(X82-Z82)&lt;=1,"Match","Mismatch"))</x:f>
        <x:v>Match</x:v>
      </x:c>
      <x:c r="AE82" t="str">
        <x:f>IF(OR(AC82="Open",AD82="Open"),"Open",IF(AND(AC82="Match",AD82="Match",W82=T82),"Matched","Exception"))</x:f>
        <x:v>Matched</x:v>
      </x:c>
      <x:c r="AF82" s="40" t="n">
        <x:f>MAX(L82-T82,0)</x:f>
        <x:v>0</x:v>
      </x:c>
    </x:row>
    <x:row r="83">
      <x:c r="A83" t="str">
        <x:v>PR100082</x:v>
      </x:c>
      <x:c r="B83" s="36" t="n">
        <x:v>46083</x:v>
      </x:c>
      <x:c r="C83" t="str">
        <x:v>Facilities</x:v>
      </x:c>
      <x:c r="D83" t="str">
        <x:v>PRJ-005</x:v>
      </x:c>
      <x:c r="E83" t="str">
        <x:v>MAT010</x:v>
      </x:c>
      <x:c r="F83" t="str">
        <x:v>AAC Block 600x200x200</x:v>
      </x:c>
      <x:c r="G83" t="str">
        <x:v>Masonry</x:v>
      </x:c>
      <x:c r="H83" t="str">
        <x:v>EA</x:v>
      </x:c>
      <x:c r="I83" t="str">
        <x:v>SUP012</x:v>
      </x:c>
      <x:c r="J83" t="str">
        <x:v>GreenField Construction Supply</x:v>
      </x:c>
      <x:c r="K83" t="str">
        <x:v>Telangana</x:v>
      </x:c>
      <x:c r="L83" s="40" t="n">
        <x:v>20</x:v>
      </x:c>
      <x:c r="M83" t="str">
        <x:v>PO200082</x:v>
      </x:c>
      <x:c r="N83" s="36" t="n">
        <x:v>46085</x:v>
      </x:c>
      <x:c r="O83" s="38" t="n">
        <x:v>85.43</x:v>
      </x:c>
      <x:c r="P83" t="str">
        <x:v>45 Days</x:v>
      </x:c>
      <x:c r="Q83" t="str">
        <x:v>A. Reddy</x:v>
      </x:c>
      <x:c r="R83" s="36" t="n">
        <x:v>46093</x:v>
      </x:c>
      <x:c r="S83" s="36" t="n">
        <x:v>46090</x:v>
      </x:c>
      <x:c r="T83" s="40" t="n">
        <x:v>10</x:v>
      </x:c>
      <x:c r="U83" t="str">
        <x:v>INV300082</x:v>
      </x:c>
      <x:c r="V83" s="36" t="n">
        <x:v>46095</x:v>
      </x:c>
      <x:c r="W83" s="40" t="n">
        <x:v>10</x:v>
      </x:c>
      <x:c r="X83" s="38" t="n">
        <x:v>1708.6</x:v>
      </x:c>
      <x:c r="Y83" t="str">
        <x:v>Paid</x:v>
      </x:c>
      <x:c r="Z83" s="38" t="n">
        <x:f>ROUND(L83*O83,2)</x:f>
        <x:v>1708.6</x:v>
      </x:c>
      <x:c r="AA83" t="n">
        <x:f>IF(S83="","",S83-N83)</x:f>
        <x:v>5</x:v>
      </x:c>
      <x:c r="AB83" t="str">
        <x:f>IF(S83="","Open",IF(S83&lt;=R83,"On Time","Late"))</x:f>
        <x:v>On Time</x:v>
      </x:c>
      <x:c r="AC83" t="str">
        <x:f>IF(S83="","Open",IF(T83=L83,"Match","Mismatch"))</x:f>
        <x:v>Mismatch</x:v>
      </x:c>
      <x:c r="AD83" t="str">
        <x:f>IF(V83="","Open",IF(ABS(X83-Z83)&lt;=1,"Match","Mismatch"))</x:f>
        <x:v>Match</x:v>
      </x:c>
      <x:c r="AE83" t="str">
        <x:f>IF(OR(AC83="Open",AD83="Open"),"Open",IF(AND(AC83="Match",AD83="Match",W83=T83),"Matched","Exception"))</x:f>
        <x:v>Exception</x:v>
      </x:c>
      <x:c r="AF83" s="40" t="n">
        <x:f>MAX(L83-T83,0)</x:f>
        <x:v>10</x:v>
      </x:c>
    </x:row>
    <x:row r="84">
      <x:c r="A84" t="str">
        <x:v>PR100083</x:v>
      </x:c>
      <x:c r="B84" s="36" t="n">
        <x:v>46150</x:v>
      </x:c>
      <x:c r="C84" t="str">
        <x:v>Civil Projects</x:v>
      </x:c>
      <x:c r="D84" t="str">
        <x:v>PRJ-006</x:v>
      </x:c>
      <x:c r="E84" t="str">
        <x:v>MAT040</x:v>
      </x:c>
      <x:c r="F84" t="str">
        <x:v>SS Fastener Set</x:v>
      </x:c>
      <x:c r="G84" t="str">
        <x:v>Hardware</x:v>
      </x:c>
      <x:c r="H84" t="str">
        <x:v>SET</x:v>
      </x:c>
      <x:c r="I84" t="str">
        <x:v>SUP011</x:v>
      </x:c>
      <x:c r="J84" t="str">
        <x:v>Vertex Industrial Supply</x:v>
      </x:c>
      <x:c r="K84" t="str">
        <x:v>Maharashtra</x:v>
      </x:c>
      <x:c r="L84" s="40" t="n">
        <x:v>20</x:v>
      </x:c>
      <x:c r="M84" t="str">
        <x:v>PO200083</x:v>
      </x:c>
      <x:c r="N84" s="36" t="n">
        <x:v>46153</x:v>
      </x:c>
      <x:c r="O84" s="38" t="n">
        <x:v>126.78</x:v>
      </x:c>
      <x:c r="P84" t="str">
        <x:v>30 Days</x:v>
      </x:c>
      <x:c r="Q84" t="str">
        <x:v>M. Priya</x:v>
      </x:c>
      <x:c r="R84" s="36" t="n">
        <x:v>46167</x:v>
      </x:c>
      <x:c r="S84" s="36" t="n">
        <x:v>46167</x:v>
      </x:c>
      <x:c r="T84" s="40" t="n">
        <x:v>20</x:v>
      </x:c>
      <x:c r="U84" t="str">
        <x:v>INV300083</x:v>
      </x:c>
      <x:c r="V84" s="36" t="n">
        <x:v>46171</x:v>
      </x:c>
      <x:c r="W84" s="40" t="n">
        <x:v>18</x:v>
      </x:c>
      <x:c r="X84" s="38" t="n">
        <x:v>2535.6</x:v>
      </x:c>
      <x:c r="Y84" t="str">
        <x:v>Paid</x:v>
      </x:c>
      <x:c r="Z84" s="38" t="n">
        <x:f>ROUND(L84*O84,2)</x:f>
        <x:v>2535.6</x:v>
      </x:c>
      <x:c r="AA84" t="n">
        <x:f>IF(S84="","",S84-N84)</x:f>
        <x:v>14</x:v>
      </x:c>
      <x:c r="AB84" t="str">
        <x:f>IF(S84="","Open",IF(S84&lt;=R84,"On Time","Late"))</x:f>
        <x:v>On Time</x:v>
      </x:c>
      <x:c r="AC84" t="str">
        <x:f>IF(S84="","Open",IF(T84=L84,"Match","Mismatch"))</x:f>
        <x:v>Match</x:v>
      </x:c>
      <x:c r="AD84" t="str">
        <x:f>IF(V84="","Open",IF(ABS(X84-Z84)&lt;=1,"Match","Mismatch"))</x:f>
        <x:v>Match</x:v>
      </x:c>
      <x:c r="AE84" t="str">
        <x:f>IF(OR(AC84="Open",AD84="Open"),"Open",IF(AND(AC84="Match",AD84="Match",W84=T84),"Matched","Exception"))</x:f>
        <x:v>Exception</x:v>
      </x:c>
      <x:c r="AF84" s="40" t="n">
        <x:f>MAX(L84-T84,0)</x:f>
        <x:v>0</x:v>
      </x:c>
    </x:row>
    <x:row r="85">
      <x:c r="A85" t="str">
        <x:v>PR100084</x:v>
      </x:c>
      <x:c r="B85" s="36" t="n">
        <x:v>46197</x:v>
      </x:c>
      <x:c r="C85" t="str">
        <x:v>Maintenance</x:v>
      </x:c>
      <x:c r="D85" t="str">
        <x:v>PRJ-001</x:v>
      </x:c>
      <x:c r="E85" t="str">
        <x:v>MAT016</x:v>
      </x:c>
      <x:c r="F85" t="str">
        <x:v>MCB 32A</x:v>
      </x:c>
      <x:c r="G85" t="str">
        <x:v>Electrical</x:v>
      </x:c>
      <x:c r="H85" t="str">
        <x:v>EA</x:v>
      </x:c>
      <x:c r="I85" t="str">
        <x:v>SUP004</x:v>
      </x:c>
      <x:c r="J85" t="str">
        <x:v>Southline Electricals</x:v>
      </x:c>
      <x:c r="K85" t="str">
        <x:v>Telangana</x:v>
      </x:c>
      <x:c r="L85" s="40" t="n">
        <x:v>150</x:v>
      </x:c>
      <x:c r="M85" t="str">
        <x:v>PO200084</x:v>
      </x:c>
      <x:c r="N85" s="36" t="n">
        <x:v>46198</x:v>
      </x:c>
      <x:c r="O85" s="38" t="n">
        <x:v>510.09</x:v>
      </x:c>
      <x:c r="P85" t="str">
        <x:v>45 Days</x:v>
      </x:c>
      <x:c r="Q85" t="str">
        <x:v>S. Kumar</x:v>
      </x:c>
      <x:c r="R85" s="36" t="n">
        <x:v>46207</x:v>
      </x:c>
      <x:c r="S85" s="36" t="n">
        <x:v>46204</x:v>
      </x:c>
      <x:c r="T85" s="40" t="n">
        <x:v>150</x:v>
      </x:c>
      <x:c r="U85" t="str">
        <x:v>INV300084</x:v>
      </x:c>
      <x:c r="V85" s="36" t="n">
        <x:v>46208</x:v>
      </x:c>
      <x:c r="W85" s="40" t="n">
        <x:v>150</x:v>
      </x:c>
      <x:c r="X85" s="38" t="n">
        <x:v>76513.5</x:v>
      </x:c>
      <x:c r="Y85" t="str">
        <x:v>Paid</x:v>
      </x:c>
      <x:c r="Z85" s="38" t="n">
        <x:f>ROUND(L85*O85,2)</x:f>
        <x:v>76513.5</x:v>
      </x:c>
      <x:c r="AA85" t="n">
        <x:f>IF(S85="","",S85-N85)</x:f>
        <x:v>6</x:v>
      </x:c>
      <x:c r="AB85" t="str">
        <x:f>IF(S85="","Open",IF(S85&lt;=R85,"On Time","Late"))</x:f>
        <x:v>On Time</x:v>
      </x:c>
      <x:c r="AC85" t="str">
        <x:f>IF(S85="","Open",IF(T85=L85,"Match","Mismatch"))</x:f>
        <x:v>Match</x:v>
      </x:c>
      <x:c r="AD85" t="str">
        <x:f>IF(V85="","Open",IF(ABS(X85-Z85)&lt;=1,"Match","Mismatch"))</x:f>
        <x:v>Match</x:v>
      </x:c>
      <x:c r="AE85" t="str">
        <x:f>IF(OR(AC85="Open",AD85="Open"),"Open",IF(AND(AC85="Match",AD85="Match",W85=T85),"Matched","Exception"))</x:f>
        <x:v>Matched</x:v>
      </x:c>
      <x:c r="AF85" s="40" t="n">
        <x:f>MAX(L85-T85,0)</x:f>
        <x:v>0</x:v>
      </x:c>
    </x:row>
    <x:row r="86">
      <x:c r="A86" t="str">
        <x:v>PR100085</x:v>
      </x:c>
      <x:c r="B86" s="36" t="n">
        <x:v>46048</x:v>
      </x:c>
      <x:c r="C86" t="str">
        <x:v>Civil Projects</x:v>
      </x:c>
      <x:c r="D86" t="str">
        <x:v>PRJ-006</x:v>
      </x:c>
      <x:c r="E86" t="str">
        <x:v>MAT003</x:v>
      </x:c>
      <x:c r="F86" t="str">
        <x:v>Ready Mix Concrete M25</x:v>
      </x:c>
      <x:c r="G86" t="str">
        <x:v>Cement &amp; Concrete</x:v>
      </x:c>
      <x:c r="H86" t="str">
        <x:v>M3</x:v>
      </x:c>
      <x:c r="I86" t="str">
        <x:v>SUP001</x:v>
      </x:c>
      <x:c r="J86" t="str">
        <x:v>Deccan Cement Supplies</x:v>
      </x:c>
      <x:c r="K86" t="str">
        <x:v>Telangana</x:v>
      </x:c>
      <x:c r="L86" s="40" t="n">
        <x:v>25</x:v>
      </x:c>
      <x:c r="M86" t="str">
        <x:v>PO200085</x:v>
      </x:c>
      <x:c r="N86" s="36" t="n">
        <x:v>46051</x:v>
      </x:c>
      <x:c r="O86" s="38" t="n">
        <x:v>5709.82</x:v>
      </x:c>
      <x:c r="P86" t="str">
        <x:v>45 Days</x:v>
      </x:c>
      <x:c r="Q86" t="str">
        <x:v>R. Sharma</x:v>
      </x:c>
      <x:c r="R86" s="36" t="n">
        <x:v>46063</x:v>
      </x:c>
      <x:c r="S86" s="36" t="n">
        <x:v>46062</x:v>
      </x:c>
      <x:c r="T86" s="40" t="n">
        <x:v>25</x:v>
      </x:c>
      <x:c r="U86" t="str">
        <x:v>INV300085</x:v>
      </x:c>
      <x:c r="V86" s="36" t="n">
        <x:v>46069</x:v>
      </x:c>
      <x:c r="W86" s="40" t="n">
        <x:v>25</x:v>
      </x:c>
      <x:c r="X86" s="38" t="n">
        <x:v>142745.5</x:v>
      </x:c>
      <x:c r="Y86" t="str">
        <x:v>Paid</x:v>
      </x:c>
      <x:c r="Z86" s="38" t="n">
        <x:f>ROUND(L86*O86,2)</x:f>
        <x:v>142745.5</x:v>
      </x:c>
      <x:c r="AA86" t="n">
        <x:f>IF(S86="","",S86-N86)</x:f>
        <x:v>11</x:v>
      </x:c>
      <x:c r="AB86" t="str">
        <x:f>IF(S86="","Open",IF(S86&lt;=R86,"On Time","Late"))</x:f>
        <x:v>On Time</x:v>
      </x:c>
      <x:c r="AC86" t="str">
        <x:f>IF(S86="","Open",IF(T86=L86,"Match","Mismatch"))</x:f>
        <x:v>Match</x:v>
      </x:c>
      <x:c r="AD86" t="str">
        <x:f>IF(V86="","Open",IF(ABS(X86-Z86)&lt;=1,"Match","Mismatch"))</x:f>
        <x:v>Match</x:v>
      </x:c>
      <x:c r="AE86" t="str">
        <x:f>IF(OR(AC86="Open",AD86="Open"),"Open",IF(AND(AC86="Match",AD86="Match",W86=T86),"Matched","Exception"))</x:f>
        <x:v>Matched</x:v>
      </x:c>
      <x:c r="AF86" s="40" t="n">
        <x:f>MAX(L86-T86,0)</x:f>
        <x:v>0</x:v>
      </x:c>
    </x:row>
    <x:row r="87">
      <x:c r="A87" t="str">
        <x:v>PR100086</x:v>
      </x:c>
      <x:c r="B87" s="36" t="n">
        <x:v>46200</x:v>
      </x:c>
      <x:c r="C87" t="str">
        <x:v>Operations</x:v>
      </x:c>
      <x:c r="D87" t="str">
        <x:v>PRJ-006</x:v>
      </x:c>
      <x:c r="E87" t="str">
        <x:v>MAT029</x:v>
      </x:c>
      <x:c r="F87" t="str">
        <x:v>Ceramic Floor Tile</x:v>
      </x:c>
      <x:c r="G87" t="str">
        <x:v>Finishes</x:v>
      </x:c>
      <x:c r="H87" t="str">
        <x:v>SQM</x:v>
      </x:c>
      <x:c r="I87" t="str">
        <x:v>SUP011</x:v>
      </x:c>
      <x:c r="J87" t="str">
        <x:v>Vertex Industrial Supply</x:v>
      </x:c>
      <x:c r="K87" t="str">
        <x:v>Maharashtra</x:v>
      </x:c>
      <x:c r="L87" s="40" t="n">
        <x:v>30</x:v>
      </x:c>
      <x:c r="M87" t="str">
        <x:v>PO200086</x:v>
      </x:c>
      <x:c r="N87" s="36" t="n">
        <x:v>46202</x:v>
      </x:c>
      <x:c r="O87" s="38" t="n">
        <x:v>670.56</x:v>
      </x:c>
      <x:c r="P87" t="str">
        <x:v>30 Days</x:v>
      </x:c>
      <x:c r="Q87" t="str">
        <x:v>A. Reddy</x:v>
      </x:c>
      <x:c r="R87" s="36" t="n">
        <x:v>46217</x:v>
      </x:c>
      <x:c r="S87" s="36" t="n">
        <x:v>46217</x:v>
      </x:c>
      <x:c r="T87" s="40" t="n">
        <x:v>30</x:v>
      </x:c>
      <x:c r="U87" t="str">
        <x:v>INV300086</x:v>
      </x:c>
      <x:c r="V87" s="36" t="n">
        <x:v>46218</x:v>
      </x:c>
      <x:c r="W87" s="40" t="n">
        <x:v>30</x:v>
      </x:c>
      <x:c r="X87" s="38" t="n">
        <x:v>20116.8</x:v>
      </x:c>
      <x:c r="Y87" t="str">
        <x:v>Paid</x:v>
      </x:c>
      <x:c r="Z87" s="38" t="n">
        <x:f>ROUND(L87*O87,2)</x:f>
        <x:v>20116.8</x:v>
      </x:c>
      <x:c r="AA87" t="n">
        <x:f>IF(S87="","",S87-N87)</x:f>
        <x:v>15</x:v>
      </x:c>
      <x:c r="AB87" t="str">
        <x:f>IF(S87="","Open",IF(S87&lt;=R87,"On Time","Late"))</x:f>
        <x:v>On Time</x:v>
      </x:c>
      <x:c r="AC87" t="str">
        <x:f>IF(S87="","Open",IF(T87=L87,"Match","Mismatch"))</x:f>
        <x:v>Match</x:v>
      </x:c>
      <x:c r="AD87" t="str">
        <x:f>IF(V87="","Open",IF(ABS(X87-Z87)&lt;=1,"Match","Mismatch"))</x:f>
        <x:v>Match</x:v>
      </x:c>
      <x:c r="AE87" t="str">
        <x:f>IF(OR(AC87="Open",AD87="Open"),"Open",IF(AND(AC87="Match",AD87="Match",W87=T87),"Matched","Exception"))</x:f>
        <x:v>Matched</x:v>
      </x:c>
      <x:c r="AF87" s="40" t="n">
        <x:f>MAX(L87-T87,0)</x:f>
        <x:v>0</x:v>
      </x:c>
    </x:row>
    <x:row r="88">
      <x:c r="A88" t="str">
        <x:v>PR100087</x:v>
      </x:c>
      <x:c r="B88" s="36" t="n">
        <x:v>46183</x:v>
      </x:c>
      <x:c r="C88" t="str">
        <x:v>Civil Projects</x:v>
      </x:c>
      <x:c r="D88" t="str">
        <x:v>PRJ-007</x:v>
      </x:c>
      <x:c r="E88" t="str">
        <x:v>MAT021</x:v>
      </x:c>
      <x:c r="F88" t="str">
        <x:v>Angle Grinder 100mm</x:v>
      </x:c>
      <x:c r="G88" t="str">
        <x:v>Tools</x:v>
      </x:c>
      <x:c r="H88" t="str">
        <x:v>EA</x:v>
      </x:c>
      <x:c r="I88" t="str">
        <x:v>SUP009</x:v>
      </x:c>
      <x:c r="J88" t="str">
        <x:v>Nava Bharat Hardware</x:v>
      </x:c>
      <x:c r="K88" t="str">
        <x:v>Andhra Pradesh</x:v>
      </x:c>
      <x:c r="L88" s="40" t="n">
        <x:v>75</x:v>
      </x:c>
      <x:c r="M88" t="str">
        <x:v>PO200087</x:v>
      </x:c>
      <x:c r="N88" s="36" t="n">
        <x:v>46189</x:v>
      </x:c>
      <x:c r="O88" s="38" t="n">
        <x:v>3087.49</x:v>
      </x:c>
      <x:c r="P88" t="str">
        <x:v>45 Days</x:v>
      </x:c>
      <x:c r="Q88" t="str">
        <x:v>S. Kumar</x:v>
      </x:c>
      <x:c r="R88" s="36" t="n">
        <x:v>46204</x:v>
      </x:c>
      <x:c r="S88" s="36" t="n">
        <x:v>46202</x:v>
      </x:c>
      <x:c r="T88" s="40" t="n">
        <x:v>75</x:v>
      </x:c>
      <x:c r="U88" t="str">
        <x:v>INV300087</x:v>
      </x:c>
      <x:c r="V88" s="36" t="n">
        <x:v>46206</x:v>
      </x:c>
      <x:c r="W88" s="40" t="n">
        <x:v>75</x:v>
      </x:c>
      <x:c r="X88" s="38" t="n">
        <x:v>231561.75</x:v>
      </x:c>
      <x:c r="Y88" t="str">
        <x:v>Blocked for Review</x:v>
      </x:c>
      <x:c r="Z88" s="38" t="n">
        <x:f>ROUND(L88*O88,2)</x:f>
        <x:v>231561.75</x:v>
      </x:c>
      <x:c r="AA88" t="n">
        <x:f>IF(S88="","",S88-N88)</x:f>
        <x:v>13</x:v>
      </x:c>
      <x:c r="AB88" t="str">
        <x:f>IF(S88="","Open",IF(S88&lt;=R88,"On Time","Late"))</x:f>
        <x:v>On Time</x:v>
      </x:c>
      <x:c r="AC88" t="str">
        <x:f>IF(S88="","Open",IF(T88=L88,"Match","Mismatch"))</x:f>
        <x:v>Match</x:v>
      </x:c>
      <x:c r="AD88" t="str">
        <x:f>IF(V88="","Open",IF(ABS(X88-Z88)&lt;=1,"Match","Mismatch"))</x:f>
        <x:v>Match</x:v>
      </x:c>
      <x:c r="AE88" t="str">
        <x:f>IF(OR(AC88="Open",AD88="Open"),"Open",IF(AND(AC88="Match",AD88="Match",W88=T88),"Matched","Exception"))</x:f>
        <x:v>Matched</x:v>
      </x:c>
      <x:c r="AF88" s="40" t="n">
        <x:f>MAX(L88-T88,0)</x:f>
        <x:v>0</x:v>
      </x:c>
    </x:row>
    <x:row r="89">
      <x:c r="A89" t="str">
        <x:v>PR100088</x:v>
      </x:c>
      <x:c r="B89" s="36" t="n">
        <x:v>46251</x:v>
      </x:c>
      <x:c r="C89" t="str">
        <x:v>Civil Projects</x:v>
      </x:c>
      <x:c r="D89" t="str">
        <x:v>PRJ-003</x:v>
      </x:c>
      <x:c r="E89" t="str">
        <x:v>MAT002</x:v>
      </x:c>
      <x:c r="F89" t="str">
        <x:v>PPC Cement 50kg</x:v>
      </x:c>
      <x:c r="G89" t="str">
        <x:v>Cement &amp; Concrete</x:v>
      </x:c>
      <x:c r="H89" t="str">
        <x:v>BAG</x:v>
      </x:c>
      <x:c r="I89" t="str">
        <x:v>SUP001</x:v>
      </x:c>
      <x:c r="J89" t="str">
        <x:v>Deccan Cement Supplies</x:v>
      </x:c>
      <x:c r="K89" t="str">
        <x:v>Telangana</x:v>
      </x:c>
      <x:c r="L89" s="40" t="n">
        <x:v>30</x:v>
      </x:c>
      <x:c r="M89" t="str">
        <x:v>PO200088</x:v>
      </x:c>
      <x:c r="N89" s="36" t="n">
        <x:v>46251</x:v>
      </x:c>
      <x:c r="O89" s="38" t="n">
        <x:v>371.05</x:v>
      </x:c>
      <x:c r="P89" t="str">
        <x:v>60 Days</x:v>
      </x:c>
      <x:c r="Q89" t="str">
        <x:v>M. Priya</x:v>
      </x:c>
      <x:c r="R89" s="36" t="n">
        <x:v>46256</x:v>
      </x:c>
      <x:c r="S89" s="36" t="n">
        <x:v>46256</x:v>
      </x:c>
      <x:c r="T89" s="40" t="n">
        <x:v>30</x:v>
      </x:c>
      <x:c r="U89" t="str">
        <x:v>INV300088</x:v>
      </x:c>
      <x:c r="V89" s="36" t="n">
        <x:v>46262</x:v>
      </x:c>
      <x:c r="W89" s="40" t="n">
        <x:v>30</x:v>
      </x:c>
      <x:c r="X89" s="38" t="n">
        <x:v>11131.5</x:v>
      </x:c>
      <x:c r="Y89" t="str">
        <x:v>Paid</x:v>
      </x:c>
      <x:c r="Z89" s="38" t="n">
        <x:f>ROUND(L89*O89,2)</x:f>
        <x:v>11131.5</x:v>
      </x:c>
      <x:c r="AA89" t="n">
        <x:f>IF(S89="","",S89-N89)</x:f>
        <x:v>5</x:v>
      </x:c>
      <x:c r="AB89" t="str">
        <x:f>IF(S89="","Open",IF(S89&lt;=R89,"On Time","Late"))</x:f>
        <x:v>On Time</x:v>
      </x:c>
      <x:c r="AC89" t="str">
        <x:f>IF(S89="","Open",IF(T89=L89,"Match","Mismatch"))</x:f>
        <x:v>Match</x:v>
      </x:c>
      <x:c r="AD89" t="str">
        <x:f>IF(V89="","Open",IF(ABS(X89-Z89)&lt;=1,"Match","Mismatch"))</x:f>
        <x:v>Match</x:v>
      </x:c>
      <x:c r="AE89" t="str">
        <x:f>IF(OR(AC89="Open",AD89="Open"),"Open",IF(AND(AC89="Match",AD89="Match",W89=T89),"Matched","Exception"))</x:f>
        <x:v>Matched</x:v>
      </x:c>
      <x:c r="AF89" s="40" t="n">
        <x:f>MAX(L89-T89,0)</x:f>
        <x:v>0</x:v>
      </x:c>
    </x:row>
    <x:row r="90">
      <x:c r="A90" t="str">
        <x:v>PR100089</x:v>
      </x:c>
      <x:c r="B90" s="36" t="n">
        <x:v>46169</x:v>
      </x:c>
      <x:c r="C90" t="str">
        <x:v>Maintenance</x:v>
      </x:c>
      <x:c r="D90" t="str">
        <x:v>PRJ-004</x:v>
      </x:c>
      <x:c r="E90" t="str">
        <x:v>MAT026</x:v>
      </x:c>
      <x:c r="F90" t="str">
        <x:v>MS Scaffolding Pipe</x:v>
      </x:c>
      <x:c r="G90" t="str">
        <x:v>Formwork</x:v>
      </x:c>
      <x:c r="H90" t="str">
        <x:v>M</x:v>
      </x:c>
      <x:c r="I90" t="str">
        <x:v>SUP012</x:v>
      </x:c>
      <x:c r="J90" t="str">
        <x:v>GreenField Construction Supply</x:v>
      </x:c>
      <x:c r="K90" t="str">
        <x:v>Telangana</x:v>
      </x:c>
      <x:c r="L90" s="40" t="n">
        <x:v>200</x:v>
      </x:c>
      <x:c r="M90" t="str">
        <x:v>PO200089</x:v>
      </x:c>
      <x:c r="N90" s="36" t="n">
        <x:v>46170</x:v>
      </x:c>
      <x:c r="O90" s="38" t="n">
        <x:v>616</x:v>
      </x:c>
      <x:c r="P90" t="str">
        <x:v>30 Days</x:v>
      </x:c>
      <x:c r="Q90" t="str">
        <x:v>S. Kumar</x:v>
      </x:c>
      <x:c r="R90" s="36" t="n">
        <x:v>46174</x:v>
      </x:c>
      <x:c r="S90" s="36" t="n">
        <x:v>46172</x:v>
      </x:c>
      <x:c r="T90" s="40" t="n">
        <x:v>200</x:v>
      </x:c>
      <x:c r="U90" t="str">
        <x:v>INV300089</x:v>
      </x:c>
      <x:c r="V90" s="36" t="n">
        <x:v>46178</x:v>
      </x:c>
      <x:c r="W90" s="40" t="n">
        <x:v>200</x:v>
      </x:c>
      <x:c r="X90" s="38" t="n">
        <x:v>123200</x:v>
      </x:c>
      <x:c r="Y90" t="str">
        <x:v>Paid</x:v>
      </x:c>
      <x:c r="Z90" s="38" t="n">
        <x:f>ROUND(L90*O90,2)</x:f>
        <x:v>123200</x:v>
      </x:c>
      <x:c r="AA90" t="n">
        <x:f>IF(S90="","",S90-N90)</x:f>
        <x:v>2</x:v>
      </x:c>
      <x:c r="AB90" t="str">
        <x:f>IF(S90="","Open",IF(S90&lt;=R90,"On Time","Late"))</x:f>
        <x:v>On Time</x:v>
      </x:c>
      <x:c r="AC90" t="str">
        <x:f>IF(S90="","Open",IF(T90=L90,"Match","Mismatch"))</x:f>
        <x:v>Match</x:v>
      </x:c>
      <x:c r="AD90" t="str">
        <x:f>IF(V90="","Open",IF(ABS(X90-Z90)&lt;=1,"Match","Mismatch"))</x:f>
        <x:v>Match</x:v>
      </x:c>
      <x:c r="AE90" t="str">
        <x:f>IF(OR(AC90="Open",AD90="Open"),"Open",IF(AND(AC90="Match",AD90="Match",W90=T90),"Matched","Exception"))</x:f>
        <x:v>Matched</x:v>
      </x:c>
      <x:c r="AF90" s="40" t="n">
        <x:f>MAX(L90-T90,0)</x:f>
        <x:v>0</x:v>
      </x:c>
    </x:row>
    <x:row r="91">
      <x:c r="A91" t="str">
        <x:v>PR100090</x:v>
      </x:c>
      <x:c r="B91" s="36" t="n">
        <x:v>46115</x:v>
      </x:c>
      <x:c r="C91" t="str">
        <x:v>Facilities</x:v>
      </x:c>
      <x:c r="D91" t="str">
        <x:v>PRJ-006</x:v>
      </x:c>
      <x:c r="E91" t="str">
        <x:v>MAT005</x:v>
      </x:c>
      <x:c r="F91" t="str">
        <x:v>TMT Steel Fe500 16mm</x:v>
      </x:c>
      <x:c r="G91" t="str">
        <x:v>Steel</x:v>
      </x:c>
      <x:c r="H91" t="str">
        <x:v>KG</x:v>
      </x:c>
      <x:c r="I91" t="str">
        <x:v>SUP009</x:v>
      </x:c>
      <x:c r="J91" t="str">
        <x:v>Nava Bharat Hardware</x:v>
      </x:c>
      <x:c r="K91" t="str">
        <x:v>Andhra Pradesh</x:v>
      </x:c>
      <x:c r="L91" s="40" t="n">
        <x:v>500</x:v>
      </x:c>
      <x:c r="M91" t="str">
        <x:v>PO200090</x:v>
      </x:c>
      <x:c r="N91" s="36" t="n">
        <x:v>46119</x:v>
      </x:c>
      <x:c r="O91" s="38" t="n">
        <x:v>65.53</x:v>
      </x:c>
      <x:c r="P91" t="str">
        <x:v>60 Days</x:v>
      </x:c>
      <x:c r="Q91" t="str">
        <x:v>S. Kumar</x:v>
      </x:c>
      <x:c r="R91" s="36" t="n">
        <x:v>46135</x:v>
      </x:c>
      <x:c r="S91" s="36" t="n">
        <x:v>46133</x:v>
      </x:c>
      <x:c r="T91" s="40" t="n">
        <x:v>500</x:v>
      </x:c>
      <x:c r="U91" t="str">
        <x:v>INV300090</x:v>
      </x:c>
      <x:c r="V91" s="36" t="n">
        <x:v>46140</x:v>
      </x:c>
      <x:c r="W91" s="40" t="n">
        <x:v>500</x:v>
      </x:c>
      <x:c r="X91" s="38" t="n">
        <x:v>32765</x:v>
      </x:c>
      <x:c r="Y91" t="str">
        <x:v>Paid</x:v>
      </x:c>
      <x:c r="Z91" s="38" t="n">
        <x:f>ROUND(L91*O91,2)</x:f>
        <x:v>32765</x:v>
      </x:c>
      <x:c r="AA91" t="n">
        <x:f>IF(S91="","",S91-N91)</x:f>
        <x:v>14</x:v>
      </x:c>
      <x:c r="AB91" t="str">
        <x:f>IF(S91="","Open",IF(S91&lt;=R91,"On Time","Late"))</x:f>
        <x:v>On Time</x:v>
      </x:c>
      <x:c r="AC91" t="str">
        <x:f>IF(S91="","Open",IF(T91=L91,"Match","Mismatch"))</x:f>
        <x:v>Match</x:v>
      </x:c>
      <x:c r="AD91" t="str">
        <x:f>IF(V91="","Open",IF(ABS(X91-Z91)&lt;=1,"Match","Mismatch"))</x:f>
        <x:v>Match</x:v>
      </x:c>
      <x:c r="AE91" t="str">
        <x:f>IF(OR(AC91="Open",AD91="Open"),"Open",IF(AND(AC91="Match",AD91="Match",W91=T91),"Matched","Exception"))</x:f>
        <x:v>Matched</x:v>
      </x:c>
      <x:c r="AF91" s="40" t="n">
        <x:f>MAX(L91-T91,0)</x:f>
        <x:v>0</x:v>
      </x:c>
    </x:row>
    <x:row r="92">
      <x:c r="A92" t="str">
        <x:v>PR100091</x:v>
      </x:c>
      <x:c r="B92" s="36" t="n">
        <x:v>46098</x:v>
      </x:c>
      <x:c r="C92" t="str">
        <x:v>Maintenance</x:v>
      </x:c>
      <x:c r="D92" t="str">
        <x:v>PRJ-007</x:v>
      </x:c>
      <x:c r="E92" t="str">
        <x:v>MAT008</x:v>
      </x:c>
      <x:c r="F92" t="str">
        <x:v>20mm Aggregate</x:v>
      </x:c>
      <x:c r="G92" t="str">
        <x:v>Aggregates</x:v>
      </x:c>
      <x:c r="H92" t="str">
        <x:v>TON</x:v>
      </x:c>
      <x:c r="I92" t="str">
        <x:v>SUP003</x:v>
      </x:c>
      <x:c r="J92" t="str">
        <x:v>BuildRight Aggregates</x:v>
      </x:c>
      <x:c r="K92" t="str">
        <x:v>Telangana</x:v>
      </x:c>
      <x:c r="L92" s="40" t="n">
        <x:v>20</x:v>
      </x:c>
      <x:c r="M92" t="str">
        <x:v>PO200091</x:v>
      </x:c>
      <x:c r="N92" s="36" t="n">
        <x:v>46100</x:v>
      </x:c>
      <x:c r="O92" s="38" t="n">
        <x:v>1274.65</x:v>
      </x:c>
      <x:c r="P92" t="str">
        <x:v>45 Days</x:v>
      </x:c>
      <x:c r="Q92" t="str">
        <x:v>A. Reddy</x:v>
      </x:c>
      <x:c r="R92" s="36" t="n">
        <x:v>46104</x:v>
      </x:c>
      <x:c r="S92" s="36" t="n">
        <x:v>46103</x:v>
      </x:c>
      <x:c r="T92" s="40" t="n">
        <x:v>20</x:v>
      </x:c>
      <x:c r="U92" t="str">
        <x:v>INV300091</x:v>
      </x:c>
      <x:c r="V92" s="36" t="n">
        <x:v>46104</x:v>
      </x:c>
      <x:c r="W92" s="40" t="n">
        <x:v>20</x:v>
      </x:c>
      <x:c r="X92" s="38" t="n">
        <x:v>25493</x:v>
      </x:c>
      <x:c r="Y92" t="str">
        <x:v>Paid</x:v>
      </x:c>
      <x:c r="Z92" s="38" t="n">
        <x:f>ROUND(L92*O92,2)</x:f>
        <x:v>25493</x:v>
      </x:c>
      <x:c r="AA92" t="n">
        <x:f>IF(S92="","",S92-N92)</x:f>
        <x:v>3</x:v>
      </x:c>
      <x:c r="AB92" t="str">
        <x:f>IF(S92="","Open",IF(S92&lt;=R92,"On Time","Late"))</x:f>
        <x:v>On Time</x:v>
      </x:c>
      <x:c r="AC92" t="str">
        <x:f>IF(S92="","Open",IF(T92=L92,"Match","Mismatch"))</x:f>
        <x:v>Match</x:v>
      </x:c>
      <x:c r="AD92" t="str">
        <x:f>IF(V92="","Open",IF(ABS(X92-Z92)&lt;=1,"Match","Mismatch"))</x:f>
        <x:v>Match</x:v>
      </x:c>
      <x:c r="AE92" t="str">
        <x:f>IF(OR(AC92="Open",AD92="Open"),"Open",IF(AND(AC92="Match",AD92="Match",W92=T92),"Matched","Exception"))</x:f>
        <x:v>Matched</x:v>
      </x:c>
      <x:c r="AF92" s="40" t="n">
        <x:f>MAX(L92-T92,0)</x:f>
        <x:v>0</x:v>
      </x:c>
    </x:row>
    <x:row r="93">
      <x:c r="A93" t="str">
        <x:v>PR100092</x:v>
      </x:c>
      <x:c r="B93" s="36" t="n">
        <x:v>46064</x:v>
      </x:c>
      <x:c r="C93" t="str">
        <x:v>Civil Projects</x:v>
      </x:c>
      <x:c r="D93" t="str">
        <x:v>PRJ-003</x:v>
      </x:c>
      <x:c r="E93" t="str">
        <x:v>MAT009</x:v>
      </x:c>
      <x:c r="F93" t="str">
        <x:v>40mm Aggregate</x:v>
      </x:c>
      <x:c r="G93" t="str">
        <x:v>Aggregates</x:v>
      </x:c>
      <x:c r="H93" t="str">
        <x:v>TON</x:v>
      </x:c>
      <x:c r="I93" t="str">
        <x:v>SUP012</x:v>
      </x:c>
      <x:c r="J93" t="str">
        <x:v>GreenField Construction Supply</x:v>
      </x:c>
      <x:c r="K93" t="str">
        <x:v>Telangana</x:v>
      </x:c>
      <x:c r="L93" s="40" t="n">
        <x:v>40</x:v>
      </x:c>
      <x:c r="M93" t="str">
        <x:v>PO200092</x:v>
      </x:c>
      <x:c r="N93" s="36" t="n">
        <x:v>46069</x:v>
      </x:c>
      <x:c r="O93" s="38" t="n">
        <x:v>1158.77</x:v>
      </x:c>
      <x:c r="P93" t="str">
        <x:v>45 Days</x:v>
      </x:c>
      <x:c r="Q93" t="str">
        <x:v>S. Kumar</x:v>
      </x:c>
      <x:c r="R93" s="36" t="n">
        <x:v>46083</x:v>
      </x:c>
      <x:c r="S93" s="36" t="n">
        <x:v>46082</x:v>
      </x:c>
      <x:c r="T93" s="40" t="n">
        <x:v>40</x:v>
      </x:c>
      <x:c r="U93" t="str">
        <x:v>INV300092</x:v>
      </x:c>
      <x:c r="V93" s="36" t="n">
        <x:v>46084</x:v>
      </x:c>
      <x:c r="W93" s="40" t="n">
        <x:v>40</x:v>
      </x:c>
      <x:c r="X93" s="38" t="n">
        <x:v>46350.8</x:v>
      </x:c>
      <x:c r="Y93" t="str">
        <x:v>Paid</x:v>
      </x:c>
      <x:c r="Z93" s="38" t="n">
        <x:f>ROUND(L93*O93,2)</x:f>
        <x:v>46350.8</x:v>
      </x:c>
      <x:c r="AA93" t="n">
        <x:f>IF(S93="","",S93-N93)</x:f>
        <x:v>13</x:v>
      </x:c>
      <x:c r="AB93" t="str">
        <x:f>IF(S93="","Open",IF(S93&lt;=R93,"On Time","Late"))</x:f>
        <x:v>On Time</x:v>
      </x:c>
      <x:c r="AC93" t="str">
        <x:f>IF(S93="","Open",IF(T93=L93,"Match","Mismatch"))</x:f>
        <x:v>Match</x:v>
      </x:c>
      <x:c r="AD93" t="str">
        <x:f>IF(V93="","Open",IF(ABS(X93-Z93)&lt;=1,"Match","Mismatch"))</x:f>
        <x:v>Match</x:v>
      </x:c>
      <x:c r="AE93" t="str">
        <x:f>IF(OR(AC93="Open",AD93="Open"),"Open",IF(AND(AC93="Match",AD93="Match",W93=T93),"Matched","Exception"))</x:f>
        <x:v>Matched</x:v>
      </x:c>
      <x:c r="AF93" s="40" t="n">
        <x:f>MAX(L93-T93,0)</x:f>
        <x:v>0</x:v>
      </x:c>
    </x:row>
    <x:row r="94">
      <x:c r="A94" t="str">
        <x:v>PR100093</x:v>
      </x:c>
      <x:c r="B94" s="36" t="n">
        <x:v>46142</x:v>
      </x:c>
      <x:c r="C94" t="str">
        <x:v>Facilities</x:v>
      </x:c>
      <x:c r="D94" t="str">
        <x:v>PRJ-003</x:v>
      </x:c>
      <x:c r="E94" t="str">
        <x:v>MAT011</x:v>
      </x:c>
      <x:c r="F94" t="str">
        <x:v>Red Clay Brick</x:v>
      </x:c>
      <x:c r="G94" t="str">
        <x:v>Masonry</x:v>
      </x:c>
      <x:c r="H94" t="str">
        <x:v>EA</x:v>
      </x:c>
      <x:c r="I94" t="str">
        <x:v>SUP012</x:v>
      </x:c>
      <x:c r="J94" t="str">
        <x:v>GreenField Construction Supply</x:v>
      </x:c>
      <x:c r="K94" t="str">
        <x:v>Telangana</x:v>
      </x:c>
      <x:c r="L94" s="40" t="n">
        <x:v>40</x:v>
      </x:c>
      <x:c r="M94" t="str">
        <x:v>PO200093</x:v>
      </x:c>
      <x:c r="N94" s="36" t="n">
        <x:v>46146</x:v>
      </x:c>
      <x:c r="O94" s="38" t="n">
        <x:v>11.79</x:v>
      </x:c>
      <x:c r="P94" t="str">
        <x:v>60 Days</x:v>
      </x:c>
      <x:c r="Q94" t="str">
        <x:v>M. Priya</x:v>
      </x:c>
      <x:c r="R94" s="36" t="n">
        <x:v>46164</x:v>
      </x:c>
      <x:c r="S94" s="36" t="n">
        <x:v>46162</x:v>
      </x:c>
      <x:c r="T94" s="40" t="n">
        <x:v>40</x:v>
      </x:c>
      <x:c r="U94" t="str">
        <x:v>INV300093</x:v>
      </x:c>
      <x:c r="V94" s="36" t="n">
        <x:v>46165</x:v>
      </x:c>
      <x:c r="W94" s="40" t="n">
        <x:v>40</x:v>
      </x:c>
      <x:c r="X94" s="38" t="n">
        <x:v>471.6</x:v>
      </x:c>
      <x:c r="Y94" t="str">
        <x:v>Paid</x:v>
      </x:c>
      <x:c r="Z94" s="38" t="n">
        <x:f>ROUND(L94*O94,2)</x:f>
        <x:v>471.6</x:v>
      </x:c>
      <x:c r="AA94" t="n">
        <x:f>IF(S94="","",S94-N94)</x:f>
        <x:v>16</x:v>
      </x:c>
      <x:c r="AB94" t="str">
        <x:f>IF(S94="","Open",IF(S94&lt;=R94,"On Time","Late"))</x:f>
        <x:v>On Time</x:v>
      </x:c>
      <x:c r="AC94" t="str">
        <x:f>IF(S94="","Open",IF(T94=L94,"Match","Mismatch"))</x:f>
        <x:v>Match</x:v>
      </x:c>
      <x:c r="AD94" t="str">
        <x:f>IF(V94="","Open",IF(ABS(X94-Z94)&lt;=1,"Match","Mismatch"))</x:f>
        <x:v>Match</x:v>
      </x:c>
      <x:c r="AE94" t="str">
        <x:f>IF(OR(AC94="Open",AD94="Open"),"Open",IF(AND(AC94="Match",AD94="Match",W94=T94),"Matched","Exception"))</x:f>
        <x:v>Matched</x:v>
      </x:c>
      <x:c r="AF94" s="40" t="n">
        <x:f>MAX(L94-T94,0)</x:f>
        <x:v>0</x:v>
      </x:c>
    </x:row>
    <x:row r="95">
      <x:c r="A95" t="str">
        <x:v>PR100094</x:v>
      </x:c>
      <x:c r="B95" s="36" t="n">
        <x:v>46041</x:v>
      </x:c>
      <x:c r="C95" t="str">
        <x:v>Facilities</x:v>
      </x:c>
      <x:c r="D95" t="str">
        <x:v>PRJ-007</x:v>
      </x:c>
      <x:c r="E95" t="str">
        <x:v>MAT037</x:v>
      </x:c>
      <x:c r="F95" t="str">
        <x:v>Anchor Bolt M16</x:v>
      </x:c>
      <x:c r="G95" t="str">
        <x:v>Hardware</x:v>
      </x:c>
      <x:c r="H95" t="str">
        <x:v>EA</x:v>
      </x:c>
      <x:c r="I95" t="str">
        <x:v>SUP009</x:v>
      </x:c>
      <x:c r="J95" t="str">
        <x:v>Nava Bharat Hardware</x:v>
      </x:c>
      <x:c r="K95" t="str">
        <x:v>Andhra Pradesh</x:v>
      </x:c>
      <x:c r="L95" s="40" t="n">
        <x:v>200</x:v>
      </x:c>
      <x:c r="M95" t="str">
        <x:v>PO200094</x:v>
      </x:c>
      <x:c r="N95" s="36" t="n">
        <x:v>46042</x:v>
      </x:c>
      <x:c r="O95" s="38" t="n">
        <x:v>91.93</x:v>
      </x:c>
      <x:c r="P95" t="str">
        <x:v>45 Days</x:v>
      </x:c>
      <x:c r="Q95" t="str">
        <x:v>R. Sharma</x:v>
      </x:c>
      <x:c r="R95" s="36" t="n">
        <x:v>46056</x:v>
      </x:c>
      <x:c r="S95" s="36" t="n">
        <x:v>46056</x:v>
      </x:c>
      <x:c r="T95" s="40" t="n">
        <x:v>200</x:v>
      </x:c>
      <x:c r="U95" t="str">
        <x:v>INV300094</x:v>
      </x:c>
      <x:c r="V95" s="36" t="n">
        <x:v>46062</x:v>
      </x:c>
      <x:c r="W95" s="40" t="n">
        <x:v>200</x:v>
      </x:c>
      <x:c r="X95" s="38" t="n">
        <x:v>18386</x:v>
      </x:c>
      <x:c r="Y95" t="str">
        <x:v>Paid</x:v>
      </x:c>
      <x:c r="Z95" s="38" t="n">
        <x:f>ROUND(L95*O95,2)</x:f>
        <x:v>18386</x:v>
      </x:c>
      <x:c r="AA95" t="n">
        <x:f>IF(S95="","",S95-N95)</x:f>
        <x:v>14</x:v>
      </x:c>
      <x:c r="AB95" t="str">
        <x:f>IF(S95="","Open",IF(S95&lt;=R95,"On Time","Late"))</x:f>
        <x:v>On Time</x:v>
      </x:c>
      <x:c r="AC95" t="str">
        <x:f>IF(S95="","Open",IF(T95=L95,"Match","Mismatch"))</x:f>
        <x:v>Match</x:v>
      </x:c>
      <x:c r="AD95" t="str">
        <x:f>IF(V95="","Open",IF(ABS(X95-Z95)&lt;=1,"Match","Mismatch"))</x:f>
        <x:v>Match</x:v>
      </x:c>
      <x:c r="AE95" t="str">
        <x:f>IF(OR(AC95="Open",AD95="Open"),"Open",IF(AND(AC95="Match",AD95="Match",W95=T95),"Matched","Exception"))</x:f>
        <x:v>Matched</x:v>
      </x:c>
      <x:c r="AF95" s="40" t="n">
        <x:f>MAX(L95-T95,0)</x:f>
        <x:v>0</x:v>
      </x:c>
    </x:row>
    <x:row r="96">
      <x:c r="A96" t="str">
        <x:v>PR100095</x:v>
      </x:c>
      <x:c r="B96" s="36" t="n">
        <x:v>46057</x:v>
      </x:c>
      <x:c r="C96" t="str">
        <x:v>Civil Projects</x:v>
      </x:c>
      <x:c r="D96" t="str">
        <x:v>PRJ-006</x:v>
      </x:c>
      <x:c r="E96" t="str">
        <x:v>MAT005</x:v>
      </x:c>
      <x:c r="F96" t="str">
        <x:v>TMT Steel Fe500 16mm</x:v>
      </x:c>
      <x:c r="G96" t="str">
        <x:v>Steel</x:v>
      </x:c>
      <x:c r="H96" t="str">
        <x:v>KG</x:v>
      </x:c>
      <x:c r="I96" t="str">
        <x:v>SUP011</x:v>
      </x:c>
      <x:c r="J96" t="str">
        <x:v>Vertex Industrial Supply</x:v>
      </x:c>
      <x:c r="K96" t="str">
        <x:v>Maharashtra</x:v>
      </x:c>
      <x:c r="L96" s="40" t="n">
        <x:v>1000</x:v>
      </x:c>
      <x:c r="M96" t="str">
        <x:v>PO200095</x:v>
      </x:c>
      <x:c r="N96" s="36" t="n">
        <x:v>46059</x:v>
      </x:c>
      <x:c r="O96" s="38" t="n">
        <x:v>63.23</x:v>
      </x:c>
      <x:c r="P96" t="str">
        <x:v>30 Days</x:v>
      </x:c>
      <x:c r="Q96" t="str">
        <x:v>R. Sharma</x:v>
      </x:c>
      <x:c r="R96" s="36" t="n">
        <x:v>46069</x:v>
      </x:c>
      <x:c r="S96" s="36" t="n">
        <x:v>46075</x:v>
      </x:c>
      <x:c r="T96" s="40" t="n">
        <x:v>1000</x:v>
      </x:c>
      <x:c r="U96" t="str">
        <x:v>INV300095</x:v>
      </x:c>
      <x:c r="V96" s="36" t="n">
        <x:v>46082</x:v>
      </x:c>
      <x:c r="W96" s="40" t="n">
        <x:v>1000</x:v>
      </x:c>
      <x:c r="X96" s="38" t="n">
        <x:v>63230</x:v>
      </x:c>
      <x:c r="Y96" t="str">
        <x:v>Paid</x:v>
      </x:c>
      <x:c r="Z96" s="38" t="n">
        <x:f>ROUND(L96*O96,2)</x:f>
        <x:v>63230</x:v>
      </x:c>
      <x:c r="AA96" t="n">
        <x:f>IF(S96="","",S96-N96)</x:f>
        <x:v>16</x:v>
      </x:c>
      <x:c r="AB96" t="str">
        <x:f>IF(S96="","Open",IF(S96&lt;=R96,"On Time","Late"))</x:f>
        <x:v>Late</x:v>
      </x:c>
      <x:c r="AC96" t="str">
        <x:f>IF(S96="","Open",IF(T96=L96,"Match","Mismatch"))</x:f>
        <x:v>Match</x:v>
      </x:c>
      <x:c r="AD96" t="str">
        <x:f>IF(V96="","Open",IF(ABS(X96-Z96)&lt;=1,"Match","Mismatch"))</x:f>
        <x:v>Match</x:v>
      </x:c>
      <x:c r="AE96" t="str">
        <x:f>IF(OR(AC96="Open",AD96="Open"),"Open",IF(AND(AC96="Match",AD96="Match",W96=T96),"Matched","Exception"))</x:f>
        <x:v>Matched</x:v>
      </x:c>
      <x:c r="AF96" s="40" t="n">
        <x:f>MAX(L96-T96,0)</x:f>
        <x:v>0</x:v>
      </x:c>
    </x:row>
    <x:row r="97">
      <x:c r="A97" t="str">
        <x:v>PR100096</x:v>
      </x:c>
      <x:c r="B97" s="36" t="n">
        <x:v>46257</x:v>
      </x:c>
      <x:c r="C97" t="str">
        <x:v>Facilities</x:v>
      </x:c>
      <x:c r="D97" t="str">
        <x:v>PRJ-003</x:v>
      </x:c>
      <x:c r="E97" t="str">
        <x:v>MAT008</x:v>
      </x:c>
      <x:c r="F97" t="str">
        <x:v>20mm Aggregate</x:v>
      </x:c>
      <x:c r="G97" t="str">
        <x:v>Aggregates</x:v>
      </x:c>
      <x:c r="H97" t="str">
        <x:v>TON</x:v>
      </x:c>
      <x:c r="I97" t="str">
        <x:v>SUP012</x:v>
      </x:c>
      <x:c r="J97" t="str">
        <x:v>GreenField Construction Supply</x:v>
      </x:c>
      <x:c r="K97" t="str">
        <x:v>Telangana</x:v>
      </x:c>
      <x:c r="L97" s="40" t="n">
        <x:v>5</x:v>
      </x:c>
      <x:c r="M97" t="str">
        <x:v>PO200096</x:v>
      </x:c>
      <x:c r="N97" s="36" t="n">
        <x:v>46258</x:v>
      </x:c>
      <x:c r="O97" s="38" t="n">
        <x:v>1215.3</x:v>
      </x:c>
      <x:c r="P97" t="str">
        <x:v>45 Days</x:v>
      </x:c>
      <x:c r="Q97" t="str">
        <x:v>R. Sharma</x:v>
      </x:c>
      <x:c r="R97" s="36" t="n">
        <x:v>46263</x:v>
      </x:c>
      <x:c r="S97" s="36" t="n">
        <x:v>46262</x:v>
      </x:c>
      <x:c r="T97" s="40" t="n">
        <x:v>5</x:v>
      </x:c>
      <x:c r="U97" t="str">
        <x:v>INV300096</x:v>
      </x:c>
      <x:c r="V97" s="36" t="n">
        <x:v>46264</x:v>
      </x:c>
      <x:c r="W97" s="40" t="n">
        <x:v>5</x:v>
      </x:c>
      <x:c r="X97" s="38" t="n">
        <x:v>6076.5</x:v>
      </x:c>
      <x:c r="Y97" t="str">
        <x:v>Paid</x:v>
      </x:c>
      <x:c r="Z97" s="38" t="n">
        <x:f>ROUND(L97*O97,2)</x:f>
        <x:v>6076.5</x:v>
      </x:c>
      <x:c r="AA97" t="n">
        <x:f>IF(S97="","",S97-N97)</x:f>
        <x:v>4</x:v>
      </x:c>
      <x:c r="AB97" t="str">
        <x:f>IF(S97="","Open",IF(S97&lt;=R97,"On Time","Late"))</x:f>
        <x:v>On Time</x:v>
      </x:c>
      <x:c r="AC97" t="str">
        <x:f>IF(S97="","Open",IF(T97=L97,"Match","Mismatch"))</x:f>
        <x:v>Match</x:v>
      </x:c>
      <x:c r="AD97" t="str">
        <x:f>IF(V97="","Open",IF(ABS(X97-Z97)&lt;=1,"Match","Mismatch"))</x:f>
        <x:v>Match</x:v>
      </x:c>
      <x:c r="AE97" t="str">
        <x:f>IF(OR(AC97="Open",AD97="Open"),"Open",IF(AND(AC97="Match",AD97="Match",W97=T97),"Matched","Exception"))</x:f>
        <x:v>Matched</x:v>
      </x:c>
      <x:c r="AF97" s="40" t="n">
        <x:f>MAX(L97-T97,0)</x:f>
        <x:v>0</x:v>
      </x:c>
    </x:row>
    <x:row r="98">
      <x:c r="A98" t="str">
        <x:v>PR100097</x:v>
      </x:c>
      <x:c r="B98" s="36" t="n">
        <x:v>46281</x:v>
      </x:c>
      <x:c r="C98" t="str">
        <x:v>Civil Projects</x:v>
      </x:c>
      <x:c r="D98" t="str">
        <x:v>PRJ-002</x:v>
      </x:c>
      <x:c r="E98" t="str">
        <x:v>MAT032</x:v>
      </x:c>
      <x:c r="F98" t="str">
        <x:v>Printer Toner</x:v>
      </x:c>
      <x:c r="G98" t="str">
        <x:v>Office Supplies</x:v>
      </x:c>
      <x:c r="H98" t="str">
        <x:v>EA</x:v>
      </x:c>
      <x:c r="I98" t="str">
        <x:v>SUP008</x:v>
      </x:c>
      <x:c r="J98" t="str">
        <x:v>Prime Office Solutions</x:v>
      </x:c>
      <x:c r="K98" t="str">
        <x:v>Telangana</x:v>
      </x:c>
      <x:c r="L98" s="40" t="n">
        <x:v>150</x:v>
      </x:c>
      <x:c r="M98" t="str">
        <x:v>PO200097</x:v>
      </x:c>
      <x:c r="N98" s="36" t="n">
        <x:v>46281</x:v>
      </x:c>
      <x:c r="O98" s="38" t="n">
        <x:v>4660.7</x:v>
      </x:c>
      <x:c r="P98" t="str">
        <x:v>45 Days</x:v>
      </x:c>
      <x:c r="Q98" t="str">
        <x:v>S. Kumar</x:v>
      </x:c>
      <x:c r="R98" s="36" t="n">
        <x:v>46291</x:v>
      </x:c>
      <x:c r="S98" s="36" t="n">
        <x:v>46291</x:v>
      </x:c>
      <x:c r="T98" s="40" t="n">
        <x:v>140</x:v>
      </x:c>
      <x:c r="U98" t="str">
        <x:v>INV300097</x:v>
      </x:c>
      <x:c r="V98" s="36" t="n">
        <x:v>46296</x:v>
      </x:c>
      <x:c r="W98" s="40" t="n">
        <x:v>140</x:v>
      </x:c>
      <x:c r="X98" s="38" t="n">
        <x:v>699105</x:v>
      </x:c>
      <x:c r="Y98" t="str">
        <x:v>Paid</x:v>
      </x:c>
      <x:c r="Z98" s="38" t="n">
        <x:f>ROUND(L98*O98,2)</x:f>
        <x:v>699105</x:v>
      </x:c>
      <x:c r="AA98" t="n">
        <x:f>IF(S98="","",S98-N98)</x:f>
        <x:v>10</x:v>
      </x:c>
      <x:c r="AB98" t="str">
        <x:f>IF(S98="","Open",IF(S98&lt;=R98,"On Time","Late"))</x:f>
        <x:v>On Time</x:v>
      </x:c>
      <x:c r="AC98" t="str">
        <x:f>IF(S98="","Open",IF(T98=L98,"Match","Mismatch"))</x:f>
        <x:v>Mismatch</x:v>
      </x:c>
      <x:c r="AD98" t="str">
        <x:f>IF(V98="","Open",IF(ABS(X98-Z98)&lt;=1,"Match","Mismatch"))</x:f>
        <x:v>Match</x:v>
      </x:c>
      <x:c r="AE98" t="str">
        <x:f>IF(OR(AC98="Open",AD98="Open"),"Open",IF(AND(AC98="Match",AD98="Match",W98=T98),"Matched","Exception"))</x:f>
        <x:v>Exception</x:v>
      </x:c>
      <x:c r="AF98" s="40" t="n">
        <x:f>MAX(L98-T98,0)</x:f>
        <x:v>10</x:v>
      </x:c>
    </x:row>
    <x:row r="99">
      <x:c r="A99" t="str">
        <x:v>PR100098</x:v>
      </x:c>
      <x:c r="B99" s="36" t="n">
        <x:v>46233</x:v>
      </x:c>
      <x:c r="C99" t="str">
        <x:v>Civil Projects</x:v>
      </x:c>
      <x:c r="D99" t="str">
        <x:v>PRJ-003</x:v>
      </x:c>
      <x:c r="E99" t="str">
        <x:v>MAT017</x:v>
      </x:c>
      <x:c r="F99" t="str">
        <x:v>LED Flood Light 100W</x:v>
      </x:c>
      <x:c r="G99" t="str">
        <x:v>Electrical</x:v>
      </x:c>
      <x:c r="H99" t="str">
        <x:v>EA</x:v>
      </x:c>
      <x:c r="I99" t="str">
        <x:v>SUP011</x:v>
      </x:c>
      <x:c r="J99" t="str">
        <x:v>Vertex Industrial Supply</x:v>
      </x:c>
      <x:c r="K99" t="str">
        <x:v>Maharashtra</x:v>
      </x:c>
      <x:c r="L99" s="40" t="n">
        <x:v>10</x:v>
      </x:c>
      <x:c r="M99" t="str">
        <x:v>PO200098</x:v>
      </x:c>
      <x:c r="N99" s="36" t="n">
        <x:v>46235</x:v>
      </x:c>
      <x:c r="O99" s="38" t="n">
        <x:v>2914.55</x:v>
      </x:c>
      <x:c r="P99" t="str">
        <x:v>30 Days</x:v>
      </x:c>
      <x:c r="Q99" t="str">
        <x:v>R. Sharma</x:v>
      </x:c>
      <x:c r="R99" s="36" t="n">
        <x:v>46245</x:v>
      </x:c>
      <x:c r="S99" s="36" t="n">
        <x:v>46245</x:v>
      </x:c>
      <x:c r="T99" s="40" t="n">
        <x:v>10</x:v>
      </x:c>
      <x:c r="U99" t="str">
        <x:v>INV300098</x:v>
      </x:c>
      <x:c r="V99" s="36" t="n">
        <x:v>46249</x:v>
      </x:c>
      <x:c r="W99" s="40" t="n">
        <x:v>10</x:v>
      </x:c>
      <x:c r="X99" s="38" t="n">
        <x:v>29145.5</x:v>
      </x:c>
      <x:c r="Y99" t="str">
        <x:v>Blocked for Review</x:v>
      </x:c>
      <x:c r="Z99" s="38" t="n">
        <x:f>ROUND(L99*O99,2)</x:f>
        <x:v>29145.5</x:v>
      </x:c>
      <x:c r="AA99" t="n">
        <x:f>IF(S99="","",S99-N99)</x:f>
        <x:v>10</x:v>
      </x:c>
      <x:c r="AB99" t="str">
        <x:f>IF(S99="","Open",IF(S99&lt;=R99,"On Time","Late"))</x:f>
        <x:v>On Time</x:v>
      </x:c>
      <x:c r="AC99" t="str">
        <x:f>IF(S99="","Open",IF(T99=L99,"Match","Mismatch"))</x:f>
        <x:v>Match</x:v>
      </x:c>
      <x:c r="AD99" t="str">
        <x:f>IF(V99="","Open",IF(ABS(X99-Z99)&lt;=1,"Match","Mismatch"))</x:f>
        <x:v>Match</x:v>
      </x:c>
      <x:c r="AE99" t="str">
        <x:f>IF(OR(AC99="Open",AD99="Open"),"Open",IF(AND(AC99="Match",AD99="Match",W99=T99),"Matched","Exception"))</x:f>
        <x:v>Matched</x:v>
      </x:c>
      <x:c r="AF99" s="40" t="n">
        <x:f>MAX(L99-T99,0)</x:f>
        <x:v>0</x:v>
      </x:c>
    </x:row>
    <x:row r="100">
      <x:c r="A100" t="str">
        <x:v>PR100099</x:v>
      </x:c>
      <x:c r="B100" s="36" t="n">
        <x:v>46214</x:v>
      </x:c>
      <x:c r="C100" t="str">
        <x:v>Civil Projects</x:v>
      </x:c>
      <x:c r="D100" t="str">
        <x:v>PRJ-003</x:v>
      </x:c>
      <x:c r="E100" t="str">
        <x:v>MAT024</x:v>
      </x:c>
      <x:c r="F100" t="str">
        <x:v>Binding Wire</x:v>
      </x:c>
      <x:c r="G100" t="str">
        <x:v>Steel</x:v>
      </x:c>
      <x:c r="H100" t="str">
        <x:v>KG</x:v>
      </x:c>
      <x:c r="I100" t="str">
        <x:v>SUP009</x:v>
      </x:c>
      <x:c r="J100" t="str">
        <x:v>Nava Bharat Hardware</x:v>
      </x:c>
      <x:c r="K100" t="str">
        <x:v>Andhra Pradesh</x:v>
      </x:c>
      <x:c r="L100" s="40" t="n">
        <x:v>1500</x:v>
      </x:c>
      <x:c r="M100" t="str">
        <x:v>PO200099</x:v>
      </x:c>
      <x:c r="N100" s="36" t="n">
        <x:v>46215</x:v>
      </x:c>
      <x:c r="O100" s="38" t="n">
        <x:v>81.36</x:v>
      </x:c>
      <x:c r="P100" t="str">
        <x:v>60 Days</x:v>
      </x:c>
      <x:c r="Q100" t="str">
        <x:v>M. Priya</x:v>
      </x:c>
      <x:c r="R100" s="36" t="n">
        <x:v>46228</x:v>
      </x:c>
      <x:c r="S100" s="36"/>
      <x:c r="T100" s="40" t="n">
        <x:v>0</x:v>
      </x:c>
      <x:c r="U100" t="str"/>
      <x:c r="V100" s="36"/>
      <x:c r="W100" s="40" t="n">
        <x:v>0</x:v>
      </x:c>
      <x:c r="X100" s="38" t="str"/>
      <x:c r="Y100" t="str">
        <x:v>Open PO</x:v>
      </x:c>
      <x:c r="Z100" s="38" t="n">
        <x:f>ROUND(L100*O100,2)</x:f>
        <x:v>122040</x:v>
      </x:c>
      <x:c r="AA100" t="str">
        <x:f>IF(S100="","",S100-N100)</x:f>
      </x:c>
      <x:c r="AB100" t="str">
        <x:f>IF(S100="","Open",IF(S100&lt;=R100,"On Time","Late"))</x:f>
        <x:v>Open</x:v>
      </x:c>
      <x:c r="AC100" t="str">
        <x:f>IF(S100="","Open",IF(T100=L100,"Match","Mismatch"))</x:f>
        <x:v>Open</x:v>
      </x:c>
      <x:c r="AD100" t="str">
        <x:f>IF(V100="","Open",IF(ABS(X100-Z100)&lt;=1,"Match","Mismatch"))</x:f>
        <x:v>Open</x:v>
      </x:c>
      <x:c r="AE100" t="str">
        <x:f>IF(OR(AC100="Open",AD100="Open"),"Open",IF(AND(AC100="Match",AD100="Match",W100=T100),"Matched","Exception"))</x:f>
        <x:v>Open</x:v>
      </x:c>
      <x:c r="AF100" s="40" t="n">
        <x:f>MAX(L100-T100,0)</x:f>
        <x:v>1500</x:v>
      </x:c>
    </x:row>
    <x:row r="101">
      <x:c r="A101" t="str">
        <x:v>PR100100</x:v>
      </x:c>
      <x:c r="B101" s="36" t="n">
        <x:v>46103</x:v>
      </x:c>
      <x:c r="C101" t="str">
        <x:v>Operations</x:v>
      </x:c>
      <x:c r="D101" t="str">
        <x:v>PRJ-008</x:v>
      </x:c>
      <x:c r="E101" t="str">
        <x:v>MAT031</x:v>
      </x:c>
      <x:c r="F101" t="str">
        <x:v>Office Paper A4</x:v>
      </x:c>
      <x:c r="G101" t="str">
        <x:v>Office Supplies</x:v>
      </x:c>
      <x:c r="H101" t="str">
        <x:v>REAM</x:v>
      </x:c>
      <x:c r="I101" t="str">
        <x:v>SUP008</x:v>
      </x:c>
      <x:c r="J101" t="str">
        <x:v>Prime Office Solutions</x:v>
      </x:c>
      <x:c r="K101" t="str">
        <x:v>Telangana</x:v>
      </x:c>
      <x:c r="L101" s="40" t="n">
        <x:v>200</x:v>
      </x:c>
      <x:c r="M101" t="str">
        <x:v>PO200100</x:v>
      </x:c>
      <x:c r="N101" s="36" t="n">
        <x:v>46105</x:v>
      </x:c>
      <x:c r="O101" s="38" t="n">
        <x:v>312.75</x:v>
      </x:c>
      <x:c r="P101" t="str">
        <x:v>30 Days</x:v>
      </x:c>
      <x:c r="Q101" t="str">
        <x:v>M. Priya</x:v>
      </x:c>
      <x:c r="R101" s="36" t="n">
        <x:v>46123</x:v>
      </x:c>
      <x:c r="S101" s="36" t="n">
        <x:v>46121</x:v>
      </x:c>
      <x:c r="T101" s="40" t="n">
        <x:v>200</x:v>
      </x:c>
      <x:c r="U101" t="str">
        <x:v>INV300100</x:v>
      </x:c>
      <x:c r="V101" s="36" t="n">
        <x:v>46126</x:v>
      </x:c>
      <x:c r="W101" s="40" t="n">
        <x:v>200</x:v>
      </x:c>
      <x:c r="X101" s="38" t="n">
        <x:v>62550</x:v>
      </x:c>
      <x:c r="Y101" t="str">
        <x:v>Paid</x:v>
      </x:c>
      <x:c r="Z101" s="38" t="n">
        <x:f>ROUND(L101*O101,2)</x:f>
        <x:v>62550</x:v>
      </x:c>
      <x:c r="AA101" t="n">
        <x:f>IF(S101="","",S101-N101)</x:f>
        <x:v>16</x:v>
      </x:c>
      <x:c r="AB101" t="str">
        <x:f>IF(S101="","Open",IF(S101&lt;=R101,"On Time","Late"))</x:f>
        <x:v>On Time</x:v>
      </x:c>
      <x:c r="AC101" t="str">
        <x:f>IF(S101="","Open",IF(T101=L101,"Match","Mismatch"))</x:f>
        <x:v>Match</x:v>
      </x:c>
      <x:c r="AD101" t="str">
        <x:f>IF(V101="","Open",IF(ABS(X101-Z101)&lt;=1,"Match","Mismatch"))</x:f>
        <x:v>Match</x:v>
      </x:c>
      <x:c r="AE101" t="str">
        <x:f>IF(OR(AC101="Open",AD101="Open"),"Open",IF(AND(AC101="Match",AD101="Match",W101=T101),"Matched","Exception"))</x:f>
        <x:v>Matched</x:v>
      </x:c>
      <x:c r="AF101" s="40" t="n">
        <x:f>MAX(L101-T101,0)</x:f>
        <x:v>0</x:v>
      </x:c>
    </x:row>
    <x:row r="102">
      <x:c r="A102" t="str">
        <x:v>PR100101</x:v>
      </x:c>
      <x:c r="B102" s="36" t="n">
        <x:v>46240</x:v>
      </x:c>
      <x:c r="C102" t="str">
        <x:v>Maintenance</x:v>
      </x:c>
      <x:c r="D102" t="str">
        <x:v>PRJ-003</x:v>
      </x:c>
      <x:c r="E102" t="str">
        <x:v>MAT022</x:v>
      </x:c>
      <x:c r="F102" t="str">
        <x:v>Hammer Drill</x:v>
      </x:c>
      <x:c r="G102" t="str">
        <x:v>Tools</x:v>
      </x:c>
      <x:c r="H102" t="str">
        <x:v>EA</x:v>
      </x:c>
      <x:c r="I102" t="str">
        <x:v>SUP007</x:v>
      </x:c>
      <x:c r="J102" t="str">
        <x:v>Precision Tools India</x:v>
      </x:c>
      <x:c r="K102" t="str">
        <x:v>Telangana</x:v>
      </x:c>
      <x:c r="L102" s="40" t="n">
        <x:v>100</x:v>
      </x:c>
      <x:c r="M102" t="str">
        <x:v>PO200101</x:v>
      </x:c>
      <x:c r="N102" s="36" t="n">
        <x:v>46242</x:v>
      </x:c>
      <x:c r="O102" s="38" t="n">
        <x:v>6581.01</x:v>
      </x:c>
      <x:c r="P102" t="str">
        <x:v>60 Days</x:v>
      </x:c>
      <x:c r="Q102" t="str">
        <x:v>S. Kumar</x:v>
      </x:c>
      <x:c r="R102" s="36" t="n">
        <x:v>46255</x:v>
      </x:c>
      <x:c r="S102" s="36" t="n">
        <x:v>46254</x:v>
      </x:c>
      <x:c r="T102" s="40" t="n">
        <x:v>100</x:v>
      </x:c>
      <x:c r="U102" t="str">
        <x:v>INV300101</x:v>
      </x:c>
      <x:c r="V102" s="36" t="n">
        <x:v>46259</x:v>
      </x:c>
      <x:c r="W102" s="40" t="n">
        <x:v>100</x:v>
      </x:c>
      <x:c r="X102" s="38" t="n">
        <x:v>658101</x:v>
      </x:c>
      <x:c r="Y102" t="str">
        <x:v>Paid</x:v>
      </x:c>
      <x:c r="Z102" s="38" t="n">
        <x:f>ROUND(L102*O102,2)</x:f>
        <x:v>658101</x:v>
      </x:c>
      <x:c r="AA102" t="n">
        <x:f>IF(S102="","",S102-N102)</x:f>
        <x:v>12</x:v>
      </x:c>
      <x:c r="AB102" t="str">
        <x:f>IF(S102="","Open",IF(S102&lt;=R102,"On Time","Late"))</x:f>
        <x:v>On Time</x:v>
      </x:c>
      <x:c r="AC102" t="str">
        <x:f>IF(S102="","Open",IF(T102=L102,"Match","Mismatch"))</x:f>
        <x:v>Match</x:v>
      </x:c>
      <x:c r="AD102" t="str">
        <x:f>IF(V102="","Open",IF(ABS(X102-Z102)&lt;=1,"Match","Mismatch"))</x:f>
        <x:v>Match</x:v>
      </x:c>
      <x:c r="AE102" t="str">
        <x:f>IF(OR(AC102="Open",AD102="Open"),"Open",IF(AND(AC102="Match",AD102="Match",W102=T102),"Matched","Exception"))</x:f>
        <x:v>Matched</x:v>
      </x:c>
      <x:c r="AF102" s="40" t="n">
        <x:f>MAX(L102-T102,0)</x:f>
        <x:v>0</x:v>
      </x:c>
    </x:row>
    <x:row r="103">
      <x:c r="A103" t="str">
        <x:v>PR100102</x:v>
      </x:c>
      <x:c r="B103" s="36" t="n">
        <x:v>46083</x:v>
      </x:c>
      <x:c r="C103" t="str">
        <x:v>Operations</x:v>
      </x:c>
      <x:c r="D103" t="str">
        <x:v>PRJ-008</x:v>
      </x:c>
      <x:c r="E103" t="str">
        <x:v>MAT003</x:v>
      </x:c>
      <x:c r="F103" t="str">
        <x:v>Ready Mix Concrete M25</x:v>
      </x:c>
      <x:c r="G103" t="str">
        <x:v>Cement &amp; Concrete</x:v>
      </x:c>
      <x:c r="H103" t="str">
        <x:v>M3</x:v>
      </x:c>
      <x:c r="I103" t="str">
        <x:v>SUP012</x:v>
      </x:c>
      <x:c r="J103" t="str">
        <x:v>GreenField Construction Supply</x:v>
      </x:c>
      <x:c r="K103" t="str">
        <x:v>Telangana</x:v>
      </x:c>
      <x:c r="L103" s="40" t="n">
        <x:v>20</x:v>
      </x:c>
      <x:c r="M103" t="str">
        <x:v>PO200102</x:v>
      </x:c>
      <x:c r="N103" s="36" t="n">
        <x:v>46084</x:v>
      </x:c>
      <x:c r="O103" s="38" t="n">
        <x:v>5175.98</x:v>
      </x:c>
      <x:c r="P103" t="str">
        <x:v>60 Days</x:v>
      </x:c>
      <x:c r="Q103" t="str">
        <x:v>R. Sharma</x:v>
      </x:c>
      <x:c r="R103" s="36" t="n">
        <x:v>46095</x:v>
      </x:c>
      <x:c r="S103" s="36" t="n">
        <x:v>46092</x:v>
      </x:c>
      <x:c r="T103" s="40" t="n">
        <x:v>20</x:v>
      </x:c>
      <x:c r="U103" t="str">
        <x:v>INV300102</x:v>
      </x:c>
      <x:c r="V103" s="36" t="n">
        <x:v>46098</x:v>
      </x:c>
      <x:c r="W103" s="40" t="n">
        <x:v>20</x:v>
      </x:c>
      <x:c r="X103" s="38" t="n">
        <x:v>103519.6</x:v>
      </x:c>
      <x:c r="Y103" t="str">
        <x:v>Paid</x:v>
      </x:c>
      <x:c r="Z103" s="38" t="n">
        <x:f>ROUND(L103*O103,2)</x:f>
        <x:v>103519.6</x:v>
      </x:c>
      <x:c r="AA103" t="n">
        <x:f>IF(S103="","",S103-N103)</x:f>
        <x:v>8</x:v>
      </x:c>
      <x:c r="AB103" t="str">
        <x:f>IF(S103="","Open",IF(S103&lt;=R103,"On Time","Late"))</x:f>
        <x:v>On Time</x:v>
      </x:c>
      <x:c r="AC103" t="str">
        <x:f>IF(S103="","Open",IF(T103=L103,"Match","Mismatch"))</x:f>
        <x:v>Match</x:v>
      </x:c>
      <x:c r="AD103" t="str">
        <x:f>IF(V103="","Open",IF(ABS(X103-Z103)&lt;=1,"Match","Mismatch"))</x:f>
        <x:v>Match</x:v>
      </x:c>
      <x:c r="AE103" t="str">
        <x:f>IF(OR(AC103="Open",AD103="Open"),"Open",IF(AND(AC103="Match",AD103="Match",W103=T103),"Matched","Exception"))</x:f>
        <x:v>Matched</x:v>
      </x:c>
      <x:c r="AF103" s="40" t="n">
        <x:f>MAX(L103-T103,0)</x:f>
        <x:v>0</x:v>
      </x:c>
    </x:row>
    <x:row r="104">
      <x:c r="A104" t="str">
        <x:v>PR100103</x:v>
      </x:c>
      <x:c r="B104" s="36" t="n">
        <x:v>46262</x:v>
      </x:c>
      <x:c r="C104" t="str">
        <x:v>Maintenance</x:v>
      </x:c>
      <x:c r="D104" t="str">
        <x:v>PRJ-006</x:v>
      </x:c>
      <x:c r="E104" t="str">
        <x:v>MAT021</x:v>
      </x:c>
      <x:c r="F104" t="str">
        <x:v>Angle Grinder 100mm</x:v>
      </x:c>
      <x:c r="G104" t="str">
        <x:v>Tools</x:v>
      </x:c>
      <x:c r="H104" t="str">
        <x:v>EA</x:v>
      </x:c>
      <x:c r="I104" t="str">
        <x:v>SUP007</x:v>
      </x:c>
      <x:c r="J104" t="str">
        <x:v>Precision Tools India</x:v>
      </x:c>
      <x:c r="K104" t="str">
        <x:v>Telangana</x:v>
      </x:c>
      <x:c r="L104" s="40" t="n">
        <x:v>40</x:v>
      </x:c>
      <x:c r="M104" t="str">
        <x:v>PO200103</x:v>
      </x:c>
      <x:c r="N104" s="36" t="n">
        <x:v>46266</x:v>
      </x:c>
      <x:c r="O104" s="38" t="n">
        <x:v>3346.89</x:v>
      </x:c>
      <x:c r="P104" t="str">
        <x:v>45 Days</x:v>
      </x:c>
      <x:c r="Q104" t="str">
        <x:v>M. Priya</x:v>
      </x:c>
      <x:c r="R104" s="36" t="n">
        <x:v>46275</x:v>
      </x:c>
      <x:c r="S104" s="36" t="n">
        <x:v>46273</x:v>
      </x:c>
      <x:c r="T104" s="40" t="n">
        <x:v>40</x:v>
      </x:c>
      <x:c r="U104" t="str">
        <x:v>INV300103</x:v>
      </x:c>
      <x:c r="V104" s="36" t="n">
        <x:v>46276</x:v>
      </x:c>
      <x:c r="W104" s="40" t="n">
        <x:v>40</x:v>
      </x:c>
      <x:c r="X104" s="38" t="n">
        <x:v>133875.6</x:v>
      </x:c>
      <x:c r="Y104" t="str">
        <x:v>Paid</x:v>
      </x:c>
      <x:c r="Z104" s="38" t="n">
        <x:f>ROUND(L104*O104,2)</x:f>
        <x:v>133875.6</x:v>
      </x:c>
      <x:c r="AA104" t="n">
        <x:f>IF(S104="","",S104-N104)</x:f>
        <x:v>7</x:v>
      </x:c>
      <x:c r="AB104" t="str">
        <x:f>IF(S104="","Open",IF(S104&lt;=R104,"On Time","Late"))</x:f>
        <x:v>On Time</x:v>
      </x:c>
      <x:c r="AC104" t="str">
        <x:f>IF(S104="","Open",IF(T104=L104,"Match","Mismatch"))</x:f>
        <x:v>Match</x:v>
      </x:c>
      <x:c r="AD104" t="str">
        <x:f>IF(V104="","Open",IF(ABS(X104-Z104)&lt;=1,"Match","Mismatch"))</x:f>
        <x:v>Match</x:v>
      </x:c>
      <x:c r="AE104" t="str">
        <x:f>IF(OR(AC104="Open",AD104="Open"),"Open",IF(AND(AC104="Match",AD104="Match",W104=T104),"Matched","Exception"))</x:f>
        <x:v>Matched</x:v>
      </x:c>
      <x:c r="AF104" s="40" t="n">
        <x:f>MAX(L104-T104,0)</x:f>
        <x:v>0</x:v>
      </x:c>
    </x:row>
    <x:row r="105">
      <x:c r="A105" t="str">
        <x:v>PR100104</x:v>
      </x:c>
      <x:c r="B105" s="36" t="n">
        <x:v>46174</x:v>
      </x:c>
      <x:c r="C105" t="str">
        <x:v>Maintenance</x:v>
      </x:c>
      <x:c r="D105" t="str">
        <x:v>PRJ-004</x:v>
      </x:c>
      <x:c r="E105" t="str">
        <x:v>MAT036</x:v>
      </x:c>
      <x:c r="F105" t="str">
        <x:v>Cutting Disc 4 inch</x:v>
      </x:c>
      <x:c r="G105" t="str">
        <x:v>Consumables</x:v>
      </x:c>
      <x:c r="H105" t="str">
        <x:v>EA</x:v>
      </x:c>
      <x:c r="I105" t="str">
        <x:v>SUP009</x:v>
      </x:c>
      <x:c r="J105" t="str">
        <x:v>Nava Bharat Hardware</x:v>
      </x:c>
      <x:c r="K105" t="str">
        <x:v>Andhra Pradesh</x:v>
      </x:c>
      <x:c r="L105" s="40" t="n">
        <x:v>150</x:v>
      </x:c>
      <x:c r="M105" t="str">
        <x:v>PO200104</x:v>
      </x:c>
      <x:c r="N105" s="36" t="n">
        <x:v>46177</x:v>
      </x:c>
      <x:c r="O105" s="38" t="n">
        <x:v>47.44</x:v>
      </x:c>
      <x:c r="P105" t="str">
        <x:v>30 Days</x:v>
      </x:c>
      <x:c r="Q105" t="str">
        <x:v>M. Priya</x:v>
      </x:c>
      <x:c r="R105" s="36" t="n">
        <x:v>46191</x:v>
      </x:c>
      <x:c r="S105" s="36" t="n">
        <x:v>46190</x:v>
      </x:c>
      <x:c r="T105" s="40" t="n">
        <x:v>150</x:v>
      </x:c>
      <x:c r="U105" t="str">
        <x:v>INV300104</x:v>
      </x:c>
      <x:c r="V105" s="36" t="n">
        <x:v>46193</x:v>
      </x:c>
      <x:c r="W105" s="40" t="n">
        <x:v>150</x:v>
      </x:c>
      <x:c r="X105" s="38" t="n">
        <x:v>7400.64</x:v>
      </x:c>
      <x:c r="Y105" t="str">
        <x:v>Paid</x:v>
      </x:c>
      <x:c r="Z105" s="38" t="n">
        <x:f>ROUND(L105*O105,2)</x:f>
        <x:v>7116</x:v>
      </x:c>
      <x:c r="AA105" t="n">
        <x:f>IF(S105="","",S105-N105)</x:f>
        <x:v>13</x:v>
      </x:c>
      <x:c r="AB105" t="str">
        <x:f>IF(S105="","Open",IF(S105&lt;=R105,"On Time","Late"))</x:f>
        <x:v>On Time</x:v>
      </x:c>
      <x:c r="AC105" t="str">
        <x:f>IF(S105="","Open",IF(T105=L105,"Match","Mismatch"))</x:f>
        <x:v>Match</x:v>
      </x:c>
      <x:c r="AD105" t="str">
        <x:f>IF(V105="","Open",IF(ABS(X105-Z105)&lt;=1,"Match","Mismatch"))</x:f>
        <x:v>Mismatch</x:v>
      </x:c>
      <x:c r="AE105" t="str">
        <x:f>IF(OR(AC105="Open",AD105="Open"),"Open",IF(AND(AC105="Match",AD105="Match",W105=T105),"Matched","Exception"))</x:f>
        <x:v>Exception</x:v>
      </x:c>
      <x:c r="AF105" s="40" t="n">
        <x:f>MAX(L105-T105,0)</x:f>
        <x:v>0</x:v>
      </x:c>
    </x:row>
    <x:row r="106">
      <x:c r="A106" t="str">
        <x:v>PR100105</x:v>
      </x:c>
      <x:c r="B106" s="36" t="n">
        <x:v>46097</x:v>
      </x:c>
      <x:c r="C106" t="str">
        <x:v>Facilities</x:v>
      </x:c>
      <x:c r="D106" t="str">
        <x:v>PRJ-004</x:v>
      </x:c>
      <x:c r="E106" t="str">
        <x:v>MAT036</x:v>
      </x:c>
      <x:c r="F106" t="str">
        <x:v>Cutting Disc 4 inch</x:v>
      </x:c>
      <x:c r="G106" t="str">
        <x:v>Consumables</x:v>
      </x:c>
      <x:c r="H106" t="str">
        <x:v>EA</x:v>
      </x:c>
      <x:c r="I106" t="str">
        <x:v>SUP009</x:v>
      </x:c>
      <x:c r="J106" t="str">
        <x:v>Nava Bharat Hardware</x:v>
      </x:c>
      <x:c r="K106" t="str">
        <x:v>Andhra Pradesh</x:v>
      </x:c>
      <x:c r="L106" s="40" t="n">
        <x:v>200</x:v>
      </x:c>
      <x:c r="M106" t="str">
        <x:v>PO200105</x:v>
      </x:c>
      <x:c r="N106" s="36" t="n">
        <x:v>46100</x:v>
      </x:c>
      <x:c r="O106" s="38" t="n">
        <x:v>46.23</x:v>
      </x:c>
      <x:c r="P106" t="str">
        <x:v>30 Days</x:v>
      </x:c>
      <x:c r="Q106" t="str">
        <x:v>A. Reddy</x:v>
      </x:c>
      <x:c r="R106" s="36" t="n">
        <x:v>46115</x:v>
      </x:c>
      <x:c r="S106" s="36"/>
      <x:c r="T106" s="40" t="n">
        <x:v>0</x:v>
      </x:c>
      <x:c r="U106" t="str"/>
      <x:c r="V106" s="36"/>
      <x:c r="W106" s="40" t="n">
        <x:v>0</x:v>
      </x:c>
      <x:c r="X106" s="38" t="str"/>
      <x:c r="Y106" t="str">
        <x:v>Open PO</x:v>
      </x:c>
      <x:c r="Z106" s="38" t="n">
        <x:f>ROUND(L106*O106,2)</x:f>
        <x:v>9246</x:v>
      </x:c>
      <x:c r="AA106" t="str">
        <x:f>IF(S106="","",S106-N106)</x:f>
      </x:c>
      <x:c r="AB106" t="str">
        <x:f>IF(S106="","Open",IF(S106&lt;=R106,"On Time","Late"))</x:f>
        <x:v>Open</x:v>
      </x:c>
      <x:c r="AC106" t="str">
        <x:f>IF(S106="","Open",IF(T106=L106,"Match","Mismatch"))</x:f>
        <x:v>Open</x:v>
      </x:c>
      <x:c r="AD106" t="str">
        <x:f>IF(V106="","Open",IF(ABS(X106-Z106)&lt;=1,"Match","Mismatch"))</x:f>
        <x:v>Open</x:v>
      </x:c>
      <x:c r="AE106" t="str">
        <x:f>IF(OR(AC106="Open",AD106="Open"),"Open",IF(AND(AC106="Match",AD106="Match",W106=T106),"Matched","Exception"))</x:f>
        <x:v>Open</x:v>
      </x:c>
      <x:c r="AF106" s="40" t="n">
        <x:f>MAX(L106-T106,0)</x:f>
        <x:v>200</x:v>
      </x:c>
    </x:row>
    <x:row r="107">
      <x:c r="A107" t="str">
        <x:v>PR100106</x:v>
      </x:c>
      <x:c r="B107" s="36" t="n">
        <x:v>46268</x:v>
      </x:c>
      <x:c r="C107" t="str">
        <x:v>Civil Projects</x:v>
      </x:c>
      <x:c r="D107" t="str">
        <x:v>PRJ-002</x:v>
      </x:c>
      <x:c r="E107" t="str">
        <x:v>MAT027</x:v>
      </x:c>
      <x:c r="F107" t="str">
        <x:v>Wall Putty 20kg</x:v>
      </x:c>
      <x:c r="G107" t="str">
        <x:v>Finishes</x:v>
      </x:c>
      <x:c r="H107" t="str">
        <x:v>BAG</x:v>
      </x:c>
      <x:c r="I107" t="str">
        <x:v>SUP011</x:v>
      </x:c>
      <x:c r="J107" t="str">
        <x:v>Vertex Industrial Supply</x:v>
      </x:c>
      <x:c r="K107" t="str">
        <x:v>Maharashtra</x:v>
      </x:c>
      <x:c r="L107" s="40" t="n">
        <x:v>150</x:v>
      </x:c>
      <x:c r="M107" t="str">
        <x:v>PO200106</x:v>
      </x:c>
      <x:c r="N107" s="36" t="n">
        <x:v>46269</x:v>
      </x:c>
      <x:c r="O107" s="38" t="n">
        <x:v>854.9</x:v>
      </x:c>
      <x:c r="P107" t="str">
        <x:v>60 Days</x:v>
      </x:c>
      <x:c r="Q107" t="str">
        <x:v>S. Kumar</x:v>
      </x:c>
      <x:c r="R107" s="36" t="n">
        <x:v>46273</x:v>
      </x:c>
      <x:c r="S107" s="36" t="n">
        <x:v>46270</x:v>
      </x:c>
      <x:c r="T107" s="40" t="n">
        <x:v>150</x:v>
      </x:c>
      <x:c r="U107" t="str">
        <x:v>INV300106</x:v>
      </x:c>
      <x:c r="V107" s="36" t="n">
        <x:v>46272</x:v>
      </x:c>
      <x:c r="W107" s="40" t="n">
        <x:v>150</x:v>
      </x:c>
      <x:c r="X107" s="38" t="n">
        <x:v>128235</x:v>
      </x:c>
      <x:c r="Y107" t="str">
        <x:v>Paid</x:v>
      </x:c>
      <x:c r="Z107" s="38" t="n">
        <x:f>ROUND(L107*O107,2)</x:f>
        <x:v>128235</x:v>
      </x:c>
      <x:c r="AA107" t="n">
        <x:f>IF(S107="","",S107-N107)</x:f>
        <x:v>1</x:v>
      </x:c>
      <x:c r="AB107" t="str">
        <x:f>IF(S107="","Open",IF(S107&lt;=R107,"On Time","Late"))</x:f>
        <x:v>On Time</x:v>
      </x:c>
      <x:c r="AC107" t="str">
        <x:f>IF(S107="","Open",IF(T107=L107,"Match","Mismatch"))</x:f>
        <x:v>Match</x:v>
      </x:c>
      <x:c r="AD107" t="str">
        <x:f>IF(V107="","Open",IF(ABS(X107-Z107)&lt;=1,"Match","Mismatch"))</x:f>
        <x:v>Match</x:v>
      </x:c>
      <x:c r="AE107" t="str">
        <x:f>IF(OR(AC107="Open",AD107="Open"),"Open",IF(AND(AC107="Match",AD107="Match",W107=T107),"Matched","Exception"))</x:f>
        <x:v>Matched</x:v>
      </x:c>
      <x:c r="AF107" s="40" t="n">
        <x:f>MAX(L107-T107,0)</x:f>
        <x:v>0</x:v>
      </x:c>
    </x:row>
    <x:row r="108">
      <x:c r="A108" t="str">
        <x:v>PR100107</x:v>
      </x:c>
      <x:c r="B108" s="36" t="n">
        <x:v>46116</x:v>
      </x:c>
      <x:c r="C108" t="str">
        <x:v>Operations</x:v>
      </x:c>
      <x:c r="D108" t="str">
        <x:v>PRJ-005</x:v>
      </x:c>
      <x:c r="E108" t="str">
        <x:v>MAT035</x:v>
      </x:c>
      <x:c r="F108" t="str">
        <x:v>Welding Electrode</x:v>
      </x:c>
      <x:c r="G108" t="str">
        <x:v>Consumables</x:v>
      </x:c>
      <x:c r="H108" t="str">
        <x:v>KG</x:v>
      </x:c>
      <x:c r="I108" t="str">
        <x:v>SUP007</x:v>
      </x:c>
      <x:c r="J108" t="str">
        <x:v>Precision Tools India</x:v>
      </x:c>
      <x:c r="K108" t="str">
        <x:v>Telangana</x:v>
      </x:c>
      <x:c r="L108" s="40" t="n">
        <x:v>100</x:v>
      </x:c>
      <x:c r="M108" t="str">
        <x:v>PO200107</x:v>
      </x:c>
      <x:c r="N108" s="36" t="n">
        <x:v>46119</x:v>
      </x:c>
      <x:c r="O108" s="38" t="n">
        <x:v>318.85</x:v>
      </x:c>
      <x:c r="P108" t="str">
        <x:v>45 Days</x:v>
      </x:c>
      <x:c r="Q108" t="str">
        <x:v>R. Sharma</x:v>
      </x:c>
      <x:c r="R108" s="36" t="n">
        <x:v>46137</x:v>
      </x:c>
      <x:c r="S108" s="36" t="n">
        <x:v>46135</x:v>
      </x:c>
      <x:c r="T108" s="40" t="n">
        <x:v>100</x:v>
      </x:c>
      <x:c r="U108" t="str">
        <x:v>INV300107</x:v>
      </x:c>
      <x:c r="V108" s="36" t="n">
        <x:v>46136</x:v>
      </x:c>
      <x:c r="W108" s="40" t="n">
        <x:v>100</x:v>
      </x:c>
      <x:c r="X108" s="38" t="n">
        <x:v>31885</x:v>
      </x:c>
      <x:c r="Y108" t="str">
        <x:v>Blocked for Review</x:v>
      </x:c>
      <x:c r="Z108" s="38" t="n">
        <x:f>ROUND(L108*O108,2)</x:f>
        <x:v>31885</x:v>
      </x:c>
      <x:c r="AA108" t="n">
        <x:f>IF(S108="","",S108-N108)</x:f>
        <x:v>16</x:v>
      </x:c>
      <x:c r="AB108" t="str">
        <x:f>IF(S108="","Open",IF(S108&lt;=R108,"On Time","Late"))</x:f>
        <x:v>On Time</x:v>
      </x:c>
      <x:c r="AC108" t="str">
        <x:f>IF(S108="","Open",IF(T108=L108,"Match","Mismatch"))</x:f>
        <x:v>Match</x:v>
      </x:c>
      <x:c r="AD108" t="str">
        <x:f>IF(V108="","Open",IF(ABS(X108-Z108)&lt;=1,"Match","Mismatch"))</x:f>
        <x:v>Match</x:v>
      </x:c>
      <x:c r="AE108" t="str">
        <x:f>IF(OR(AC108="Open",AD108="Open"),"Open",IF(AND(AC108="Match",AD108="Match",W108=T108),"Matched","Exception"))</x:f>
        <x:v>Matched</x:v>
      </x:c>
      <x:c r="AF108" s="40" t="n">
        <x:f>MAX(L108-T108,0)</x:f>
        <x:v>0</x:v>
      </x:c>
    </x:row>
    <x:row r="109">
      <x:c r="A109" t="str">
        <x:v>PR100108</x:v>
      </x:c>
      <x:c r="B109" s="36" t="n">
        <x:v>46166</x:v>
      </x:c>
      <x:c r="C109" t="str">
        <x:v>Maintenance</x:v>
      </x:c>
      <x:c r="D109" t="str">
        <x:v>PRJ-007</x:v>
      </x:c>
      <x:c r="E109" t="str">
        <x:v>MAT009</x:v>
      </x:c>
      <x:c r="F109" t="str">
        <x:v>40mm Aggregate</x:v>
      </x:c>
      <x:c r="G109" t="str">
        <x:v>Aggregates</x:v>
      </x:c>
      <x:c r="H109" t="str">
        <x:v>TON</x:v>
      </x:c>
      <x:c r="I109" t="str">
        <x:v>SUP012</x:v>
      </x:c>
      <x:c r="J109" t="str">
        <x:v>GreenField Construction Supply</x:v>
      </x:c>
      <x:c r="K109" t="str">
        <x:v>Telangana</x:v>
      </x:c>
      <x:c r="L109" s="40" t="n">
        <x:v>10</x:v>
      </x:c>
      <x:c r="M109" t="str">
        <x:v>PO200108</x:v>
      </x:c>
      <x:c r="N109" s="36" t="n">
        <x:v>46167</x:v>
      </x:c>
      <x:c r="O109" s="38" t="n">
        <x:v>1240.89</x:v>
      </x:c>
      <x:c r="P109" t="str">
        <x:v>60 Days</x:v>
      </x:c>
      <x:c r="Q109" t="str">
        <x:v>M. Priya</x:v>
      </x:c>
      <x:c r="R109" s="36" t="n">
        <x:v>46176</x:v>
      </x:c>
      <x:c r="S109" s="36" t="n">
        <x:v>46176</x:v>
      </x:c>
      <x:c r="T109" s="40" t="n">
        <x:v>10</x:v>
      </x:c>
      <x:c r="U109" t="str">
        <x:v>INV300108</x:v>
      </x:c>
      <x:c r="V109" s="36" t="n">
        <x:v>46183</x:v>
      </x:c>
      <x:c r="W109" s="40" t="n">
        <x:v>10</x:v>
      </x:c>
      <x:c r="X109" s="38" t="n">
        <x:v>12408.9</x:v>
      </x:c>
      <x:c r="Y109" t="str">
        <x:v>Paid</x:v>
      </x:c>
      <x:c r="Z109" s="38" t="n">
        <x:f>ROUND(L109*O109,2)</x:f>
        <x:v>12408.9</x:v>
      </x:c>
      <x:c r="AA109" t="n">
        <x:f>IF(S109="","",S109-N109)</x:f>
        <x:v>9</x:v>
      </x:c>
      <x:c r="AB109" t="str">
        <x:f>IF(S109="","Open",IF(S109&lt;=R109,"On Time","Late"))</x:f>
        <x:v>On Time</x:v>
      </x:c>
      <x:c r="AC109" t="str">
        <x:f>IF(S109="","Open",IF(T109=L109,"Match","Mismatch"))</x:f>
        <x:v>Match</x:v>
      </x:c>
      <x:c r="AD109" t="str">
        <x:f>IF(V109="","Open",IF(ABS(X109-Z109)&lt;=1,"Match","Mismatch"))</x:f>
        <x:v>Match</x:v>
      </x:c>
      <x:c r="AE109" t="str">
        <x:f>IF(OR(AC109="Open",AD109="Open"),"Open",IF(AND(AC109="Match",AD109="Match",W109=T109),"Matched","Exception"))</x:f>
        <x:v>Matched</x:v>
      </x:c>
      <x:c r="AF109" s="40" t="n">
        <x:f>MAX(L109-T109,0)</x:f>
        <x:v>0</x:v>
      </x:c>
    </x:row>
    <x:row r="110">
      <x:c r="A110" t="str">
        <x:v>PR100109</x:v>
      </x:c>
      <x:c r="B110" s="36" t="n">
        <x:v>46075</x:v>
      </x:c>
      <x:c r="C110" t="str">
        <x:v>Maintenance</x:v>
      </x:c>
      <x:c r="D110" t="str">
        <x:v>PRJ-004</x:v>
      </x:c>
      <x:c r="E110" t="str">
        <x:v>MAT006</x:v>
      </x:c>
      <x:c r="F110" t="str">
        <x:v>Structural Steel Angle</x:v>
      </x:c>
      <x:c r="G110" t="str">
        <x:v>Steel</x:v>
      </x:c>
      <x:c r="H110" t="str">
        <x:v>KG</x:v>
      </x:c>
      <x:c r="I110" t="str">
        <x:v>SUP009</x:v>
      </x:c>
      <x:c r="J110" t="str">
        <x:v>Nava Bharat Hardware</x:v>
      </x:c>
      <x:c r="K110" t="str">
        <x:v>Andhra Pradesh</x:v>
      </x:c>
      <x:c r="L110" s="40" t="n">
        <x:v>500</x:v>
      </x:c>
      <x:c r="M110" t="str">
        <x:v>PO200109</x:v>
      </x:c>
      <x:c r="N110" s="36" t="n">
        <x:v>46076</x:v>
      </x:c>
      <x:c r="O110" s="38" t="n">
        <x:v>84.9</x:v>
      </x:c>
      <x:c r="P110" t="str">
        <x:v>45 Days</x:v>
      </x:c>
      <x:c r="Q110" t="str">
        <x:v>M. Priya</x:v>
      </x:c>
      <x:c r="R110" s="36" t="n">
        <x:v>46087</x:v>
      </x:c>
      <x:c r="S110" s="36"/>
      <x:c r="T110" s="40" t="n">
        <x:v>0</x:v>
      </x:c>
      <x:c r="U110" t="str"/>
      <x:c r="V110" s="36"/>
      <x:c r="W110" s="40" t="n">
        <x:v>0</x:v>
      </x:c>
      <x:c r="X110" s="38" t="str"/>
      <x:c r="Y110" t="str">
        <x:v>Open PO</x:v>
      </x:c>
      <x:c r="Z110" s="38" t="n">
        <x:f>ROUND(L110*O110,2)</x:f>
        <x:v>42450</x:v>
      </x:c>
      <x:c r="AA110" t="str">
        <x:f>IF(S110="","",S110-N110)</x:f>
      </x:c>
      <x:c r="AB110" t="str">
        <x:f>IF(S110="","Open",IF(S110&lt;=R110,"On Time","Late"))</x:f>
        <x:v>Open</x:v>
      </x:c>
      <x:c r="AC110" t="str">
        <x:f>IF(S110="","Open",IF(T110=L110,"Match","Mismatch"))</x:f>
        <x:v>Open</x:v>
      </x:c>
      <x:c r="AD110" t="str">
        <x:f>IF(V110="","Open",IF(ABS(X110-Z110)&lt;=1,"Match","Mismatch"))</x:f>
        <x:v>Open</x:v>
      </x:c>
      <x:c r="AE110" t="str">
        <x:f>IF(OR(AC110="Open",AD110="Open"),"Open",IF(AND(AC110="Match",AD110="Match",W110=T110),"Matched","Exception"))</x:f>
        <x:v>Open</x:v>
      </x:c>
      <x:c r="AF110" s="40" t="n">
        <x:f>MAX(L110-T110,0)</x:f>
        <x:v>500</x:v>
      </x:c>
    </x:row>
    <x:row r="111">
      <x:c r="A111" t="str">
        <x:v>PR100110</x:v>
      </x:c>
      <x:c r="B111" s="36" t="n">
        <x:v>46032</x:v>
      </x:c>
      <x:c r="C111" t="str">
        <x:v>Operations</x:v>
      </x:c>
      <x:c r="D111" t="str">
        <x:v>PRJ-006</x:v>
      </x:c>
      <x:c r="E111" t="str">
        <x:v>MAT022</x:v>
      </x:c>
      <x:c r="F111" t="str">
        <x:v>Hammer Drill</x:v>
      </x:c>
      <x:c r="G111" t="str">
        <x:v>Tools</x:v>
      </x:c>
      <x:c r="H111" t="str">
        <x:v>EA</x:v>
      </x:c>
      <x:c r="I111" t="str">
        <x:v>SUP009</x:v>
      </x:c>
      <x:c r="J111" t="str">
        <x:v>Nava Bharat Hardware</x:v>
      </x:c>
      <x:c r="K111" t="str">
        <x:v>Andhra Pradesh</x:v>
      </x:c>
      <x:c r="L111" s="40" t="n">
        <x:v>30</x:v>
      </x:c>
      <x:c r="M111" t="str">
        <x:v>PO200110</x:v>
      </x:c>
      <x:c r="N111" s="36" t="n">
        <x:v>46035</x:v>
      </x:c>
      <x:c r="O111" s="38" t="n">
        <x:v>6332.04</x:v>
      </x:c>
      <x:c r="P111" t="str">
        <x:v>60 Days</x:v>
      </x:c>
      <x:c r="Q111" t="str">
        <x:v>S. Kumar</x:v>
      </x:c>
      <x:c r="R111" s="36" t="n">
        <x:v>46050</x:v>
      </x:c>
      <x:c r="S111" s="36" t="n">
        <x:v>46047</x:v>
      </x:c>
      <x:c r="T111" s="40" t="n">
        <x:v>30</x:v>
      </x:c>
      <x:c r="U111" t="str">
        <x:v>INV300110</x:v>
      </x:c>
      <x:c r="V111" s="36" t="n">
        <x:v>46053</x:v>
      </x:c>
      <x:c r="W111" s="40" t="n">
        <x:v>30</x:v>
      </x:c>
      <x:c r="X111" s="38" t="n">
        <x:v>189961.2</x:v>
      </x:c>
      <x:c r="Y111" t="str">
        <x:v>Paid</x:v>
      </x:c>
      <x:c r="Z111" s="38" t="n">
        <x:f>ROUND(L111*O111,2)</x:f>
        <x:v>189961.2</x:v>
      </x:c>
      <x:c r="AA111" t="n">
        <x:f>IF(S111="","",S111-N111)</x:f>
        <x:v>12</x:v>
      </x:c>
      <x:c r="AB111" t="str">
        <x:f>IF(S111="","Open",IF(S111&lt;=R111,"On Time","Late"))</x:f>
        <x:v>On Time</x:v>
      </x:c>
      <x:c r="AC111" t="str">
        <x:f>IF(S111="","Open",IF(T111=L111,"Match","Mismatch"))</x:f>
        <x:v>Match</x:v>
      </x:c>
      <x:c r="AD111" t="str">
        <x:f>IF(V111="","Open",IF(ABS(X111-Z111)&lt;=1,"Match","Mismatch"))</x:f>
        <x:v>Match</x:v>
      </x:c>
      <x:c r="AE111" t="str">
        <x:f>IF(OR(AC111="Open",AD111="Open"),"Open",IF(AND(AC111="Match",AD111="Match",W111=T111),"Matched","Exception"))</x:f>
        <x:v>Matched</x:v>
      </x:c>
      <x:c r="AF111" s="40" t="n">
        <x:f>MAX(L111-T111,0)</x:f>
        <x:v>0</x:v>
      </x:c>
    </x:row>
    <x:row r="112">
      <x:c r="A112" t="str">
        <x:v>PR100111</x:v>
      </x:c>
      <x:c r="B112" s="36" t="n">
        <x:v>46271</x:v>
      </x:c>
      <x:c r="C112" t="str">
        <x:v>Maintenance</x:v>
      </x:c>
      <x:c r="D112" t="str">
        <x:v>PRJ-006</x:v>
      </x:c>
      <x:c r="E112" t="str">
        <x:v>MAT015</x:v>
      </x:c>
      <x:c r="F112" t="str">
        <x:v>Copper Cable 4 sqmm</x:v>
      </x:c>
      <x:c r="G112" t="str">
        <x:v>Electrical</x:v>
      </x:c>
      <x:c r="H112" t="str">
        <x:v>M</x:v>
      </x:c>
      <x:c r="I112" t="str">
        <x:v>SUP004</x:v>
      </x:c>
      <x:c r="J112" t="str">
        <x:v>Southline Electricals</x:v>
      </x:c>
      <x:c r="K112" t="str">
        <x:v>Telangana</x:v>
      </x:c>
      <x:c r="L112" s="40" t="n">
        <x:v>2000</x:v>
      </x:c>
      <x:c r="M112" t="str">
        <x:v>PO200111</x:v>
      </x:c>
      <x:c r="N112" s="36" t="n">
        <x:v>46273</x:v>
      </x:c>
      <x:c r="O112" s="38" t="n">
        <x:v>71.08</x:v>
      </x:c>
      <x:c r="P112" t="str">
        <x:v>30 Days</x:v>
      </x:c>
      <x:c r="Q112" t="str">
        <x:v>A. Reddy</x:v>
      </x:c>
      <x:c r="R112" s="36" t="n">
        <x:v>46288</x:v>
      </x:c>
      <x:c r="S112" s="36" t="n">
        <x:v>46287</x:v>
      </x:c>
      <x:c r="T112" s="40" t="n">
        <x:v>2000</x:v>
      </x:c>
      <x:c r="U112" t="str">
        <x:v>INV300111</x:v>
      </x:c>
      <x:c r="V112" s="36" t="n">
        <x:v>46293</x:v>
      </x:c>
      <x:c r="W112" s="40" t="n">
        <x:v>2000</x:v>
      </x:c>
      <x:c r="X112" s="38" t="n">
        <x:v>142160</x:v>
      </x:c>
      <x:c r="Y112" t="str">
        <x:v>Paid</x:v>
      </x:c>
      <x:c r="Z112" s="38" t="n">
        <x:f>ROUND(L112*O112,2)</x:f>
        <x:v>142160</x:v>
      </x:c>
      <x:c r="AA112" t="n">
        <x:f>IF(S112="","",S112-N112)</x:f>
        <x:v>14</x:v>
      </x:c>
      <x:c r="AB112" t="str">
        <x:f>IF(S112="","Open",IF(S112&lt;=R112,"On Time","Late"))</x:f>
        <x:v>On Time</x:v>
      </x:c>
      <x:c r="AC112" t="str">
        <x:f>IF(S112="","Open",IF(T112=L112,"Match","Mismatch"))</x:f>
        <x:v>Match</x:v>
      </x:c>
      <x:c r="AD112" t="str">
        <x:f>IF(V112="","Open",IF(ABS(X112-Z112)&lt;=1,"Match","Mismatch"))</x:f>
        <x:v>Match</x:v>
      </x:c>
      <x:c r="AE112" t="str">
        <x:f>IF(OR(AC112="Open",AD112="Open"),"Open",IF(AND(AC112="Match",AD112="Match",W112=T112),"Matched","Exception"))</x:f>
        <x:v>Matched</x:v>
      </x:c>
      <x:c r="AF112" s="40" t="n">
        <x:f>MAX(L112-T112,0)</x:f>
        <x:v>0</x:v>
      </x:c>
    </x:row>
    <x:row r="113">
      <x:c r="A113" t="str">
        <x:v>PR100112</x:v>
      </x:c>
      <x:c r="B113" s="36" t="n">
        <x:v>46285</x:v>
      </x:c>
      <x:c r="C113" t="str">
        <x:v>Maintenance</x:v>
      </x:c>
      <x:c r="D113" t="str">
        <x:v>PRJ-003</x:v>
      </x:c>
      <x:c r="E113" t="str">
        <x:v>MAT004</x:v>
      </x:c>
      <x:c r="F113" t="str">
        <x:v>TMT Steel Fe500 12mm</x:v>
      </x:c>
      <x:c r="G113" t="str">
        <x:v>Steel</x:v>
      </x:c>
      <x:c r="H113" t="str">
        <x:v>KG</x:v>
      </x:c>
      <x:c r="I113" t="str">
        <x:v>SUP011</x:v>
      </x:c>
      <x:c r="J113" t="str">
        <x:v>Vertex Industrial Supply</x:v>
      </x:c>
      <x:c r="K113" t="str">
        <x:v>Maharashtra</x:v>
      </x:c>
      <x:c r="L113" s="40" t="n">
        <x:v>200</x:v>
      </x:c>
      <x:c r="M113" t="str">
        <x:v>PO200112</x:v>
      </x:c>
      <x:c r="N113" s="36" t="n">
        <x:v>46288</x:v>
      </x:c>
      <x:c r="O113" s="38" t="n">
        <x:v>58.88</x:v>
      </x:c>
      <x:c r="P113" t="str">
        <x:v>60 Days</x:v>
      </x:c>
      <x:c r="Q113" t="str">
        <x:v>R. Sharma</x:v>
      </x:c>
      <x:c r="R113" s="36" t="n">
        <x:v>46300</x:v>
      </x:c>
      <x:c r="S113" s="36" t="n">
        <x:v>46299</x:v>
      </x:c>
      <x:c r="T113" s="40" t="n">
        <x:v>200</x:v>
      </x:c>
      <x:c r="U113" t="str">
        <x:v>INV300112</x:v>
      </x:c>
      <x:c r="V113" s="36" t="n">
        <x:v>46303</x:v>
      </x:c>
      <x:c r="W113" s="40" t="n">
        <x:v>200</x:v>
      </x:c>
      <x:c r="X113" s="38" t="n">
        <x:v>11776</x:v>
      </x:c>
      <x:c r="Y113" t="str">
        <x:v>Pending Approval</x:v>
      </x:c>
      <x:c r="Z113" s="38" t="n">
        <x:f>ROUND(L113*O113,2)</x:f>
        <x:v>11776</x:v>
      </x:c>
      <x:c r="AA113" t="n">
        <x:f>IF(S113="","",S113-N113)</x:f>
        <x:v>11</x:v>
      </x:c>
      <x:c r="AB113" t="str">
        <x:f>IF(S113="","Open",IF(S113&lt;=R113,"On Time","Late"))</x:f>
        <x:v>On Time</x:v>
      </x:c>
      <x:c r="AC113" t="str">
        <x:f>IF(S113="","Open",IF(T113=L113,"Match","Mismatch"))</x:f>
        <x:v>Match</x:v>
      </x:c>
      <x:c r="AD113" t="str">
        <x:f>IF(V113="","Open",IF(ABS(X113-Z113)&lt;=1,"Match","Mismatch"))</x:f>
        <x:v>Match</x:v>
      </x:c>
      <x:c r="AE113" t="str">
        <x:f>IF(OR(AC113="Open",AD113="Open"),"Open",IF(AND(AC113="Match",AD113="Match",W113=T113),"Matched","Exception"))</x:f>
        <x:v>Matched</x:v>
      </x:c>
      <x:c r="AF113" s="40" t="n">
        <x:f>MAX(L113-T113,0)</x:f>
        <x:v>0</x:v>
      </x:c>
    </x:row>
    <x:row r="114">
      <x:c r="A114" t="str">
        <x:v>PR100113</x:v>
      </x:c>
      <x:c r="B114" s="36" t="n">
        <x:v>46263</x:v>
      </x:c>
      <x:c r="C114" t="str">
        <x:v>Civil Projects</x:v>
      </x:c>
      <x:c r="D114" t="str">
        <x:v>PRJ-008</x:v>
      </x:c>
      <x:c r="E114" t="str">
        <x:v>MAT030</x:v>
      </x:c>
      <x:c r="F114" t="str">
        <x:v>Waterproofing Compound 20L</x:v>
      </x:c>
      <x:c r="G114" t="str">
        <x:v>Finishes</x:v>
      </x:c>
      <x:c r="H114" t="str">
        <x:v>CAN</x:v>
      </x:c>
      <x:c r="I114" t="str">
        <x:v>SUP010</x:v>
      </x:c>
      <x:c r="J114" t="str">
        <x:v>Urban Infra Materials</x:v>
      </x:c>
      <x:c r="K114" t="str">
        <x:v>Karnataka</x:v>
      </x:c>
      <x:c r="L114" s="40" t="n">
        <x:v>40</x:v>
      </x:c>
      <x:c r="M114" t="str">
        <x:v>PO200113</x:v>
      </x:c>
      <x:c r="N114" s="36" t="n">
        <x:v>46265</x:v>
      </x:c>
      <x:c r="O114" s="38" t="n">
        <x:v>2614.06</x:v>
      </x:c>
      <x:c r="P114" t="str">
        <x:v>30 Days</x:v>
      </x:c>
      <x:c r="Q114" t="str">
        <x:v>M. Priya</x:v>
      </x:c>
      <x:c r="R114" s="36" t="n">
        <x:v>46275</x:v>
      </x:c>
      <x:c r="S114" s="36" t="n">
        <x:v>46275</x:v>
      </x:c>
      <x:c r="T114" s="40" t="n">
        <x:v>40</x:v>
      </x:c>
      <x:c r="U114" t="str">
        <x:v>INV300113</x:v>
      </x:c>
      <x:c r="V114" s="36" t="n">
        <x:v>46281</x:v>
      </x:c>
      <x:c r="W114" s="40" t="n">
        <x:v>40</x:v>
      </x:c>
      <x:c r="X114" s="38" t="n">
        <x:v>104562.4</x:v>
      </x:c>
      <x:c r="Y114" t="str">
        <x:v>Blocked for Review</x:v>
      </x:c>
      <x:c r="Z114" s="38" t="n">
        <x:f>ROUND(L114*O114,2)</x:f>
        <x:v>104562.4</x:v>
      </x:c>
      <x:c r="AA114" t="n">
        <x:f>IF(S114="","",S114-N114)</x:f>
        <x:v>10</x:v>
      </x:c>
      <x:c r="AB114" t="str">
        <x:f>IF(S114="","Open",IF(S114&lt;=R114,"On Time","Late"))</x:f>
        <x:v>On Time</x:v>
      </x:c>
      <x:c r="AC114" t="str">
        <x:f>IF(S114="","Open",IF(T114=L114,"Match","Mismatch"))</x:f>
        <x:v>Match</x:v>
      </x:c>
      <x:c r="AD114" t="str">
        <x:f>IF(V114="","Open",IF(ABS(X114-Z114)&lt;=1,"Match","Mismatch"))</x:f>
        <x:v>Match</x:v>
      </x:c>
      <x:c r="AE114" t="str">
        <x:f>IF(OR(AC114="Open",AD114="Open"),"Open",IF(AND(AC114="Match",AD114="Match",W114=T114),"Matched","Exception"))</x:f>
        <x:v>Matched</x:v>
      </x:c>
      <x:c r="AF114" s="40" t="n">
        <x:f>MAX(L114-T114,0)</x:f>
        <x:v>0</x:v>
      </x:c>
    </x:row>
    <x:row r="115">
      <x:c r="A115" t="str">
        <x:v>PR100114</x:v>
      </x:c>
      <x:c r="B115" s="36" t="n">
        <x:v>46096</x:v>
      </x:c>
      <x:c r="C115" t="str">
        <x:v>Civil Projects</x:v>
      </x:c>
      <x:c r="D115" t="str">
        <x:v>PRJ-003</x:v>
      </x:c>
      <x:c r="E115" t="str">
        <x:v>MAT027</x:v>
      </x:c>
      <x:c r="F115" t="str">
        <x:v>Wall Putty 20kg</x:v>
      </x:c>
      <x:c r="G115" t="str">
        <x:v>Finishes</x:v>
      </x:c>
      <x:c r="H115" t="str">
        <x:v>BAG</x:v>
      </x:c>
      <x:c r="I115" t="str">
        <x:v>SUP010</x:v>
      </x:c>
      <x:c r="J115" t="str">
        <x:v>Urban Infra Materials</x:v>
      </x:c>
      <x:c r="K115" t="str">
        <x:v>Karnataka</x:v>
      </x:c>
      <x:c r="L115" s="40" t="n">
        <x:v>75</x:v>
      </x:c>
      <x:c r="M115" t="str">
        <x:v>PO200114</x:v>
      </x:c>
      <x:c r="N115" s="36" t="n">
        <x:v>46100</x:v>
      </x:c>
      <x:c r="O115" s="38" t="n">
        <x:v>780.57</x:v>
      </x:c>
      <x:c r="P115" t="str">
        <x:v>60 Days</x:v>
      </x:c>
      <x:c r="Q115" t="str">
        <x:v>R. Sharma</x:v>
      </x:c>
      <x:c r="R115" s="36" t="n">
        <x:v>46118</x:v>
      </x:c>
      <x:c r="S115" s="36" t="n">
        <x:v>46118</x:v>
      </x:c>
      <x:c r="T115" s="40" t="n">
        <x:v>75</x:v>
      </x:c>
      <x:c r="U115" t="str">
        <x:v>INV300114</x:v>
      </x:c>
      <x:c r="V115" s="36" t="n">
        <x:v>46124</x:v>
      </x:c>
      <x:c r="W115" s="40" t="n">
        <x:v>75</x:v>
      </x:c>
      <x:c r="X115" s="38" t="n">
        <x:v>58542.75</x:v>
      </x:c>
      <x:c r="Y115" t="str">
        <x:v>Pending Approval</x:v>
      </x:c>
      <x:c r="Z115" s="38" t="n">
        <x:f>ROUND(L115*O115,2)</x:f>
        <x:v>58542.75</x:v>
      </x:c>
      <x:c r="AA115" t="n">
        <x:f>IF(S115="","",S115-N115)</x:f>
        <x:v>18</x:v>
      </x:c>
      <x:c r="AB115" t="str">
        <x:f>IF(S115="","Open",IF(S115&lt;=R115,"On Time","Late"))</x:f>
        <x:v>On Time</x:v>
      </x:c>
      <x:c r="AC115" t="str">
        <x:f>IF(S115="","Open",IF(T115=L115,"Match","Mismatch"))</x:f>
        <x:v>Match</x:v>
      </x:c>
      <x:c r="AD115" t="str">
        <x:f>IF(V115="","Open",IF(ABS(X115-Z115)&lt;=1,"Match","Mismatch"))</x:f>
        <x:v>Match</x:v>
      </x:c>
      <x:c r="AE115" t="str">
        <x:f>IF(OR(AC115="Open",AD115="Open"),"Open",IF(AND(AC115="Match",AD115="Match",W115=T115),"Matched","Exception"))</x:f>
        <x:v>Matched</x:v>
      </x:c>
      <x:c r="AF115" s="40" t="n">
        <x:f>MAX(L115-T115,0)</x:f>
        <x:v>0</x:v>
      </x:c>
    </x:row>
    <x:row r="116">
      <x:c r="A116" t="str">
        <x:v>PR100115</x:v>
      </x:c>
      <x:c r="B116" s="36" t="n">
        <x:v>46141</x:v>
      </x:c>
      <x:c r="C116" t="str">
        <x:v>Civil Projects</x:v>
      </x:c>
      <x:c r="D116" t="str">
        <x:v>PRJ-001</x:v>
      </x:c>
      <x:c r="E116" t="str">
        <x:v>MAT034</x:v>
      </x:c>
      <x:c r="F116" t="str">
        <x:v>Industrial Adhesive</x:v>
      </x:c>
      <x:c r="G116" t="str">
        <x:v>Consumables</x:v>
      </x:c>
      <x:c r="H116" t="str">
        <x:v>KG</x:v>
      </x:c>
      <x:c r="I116" t="str">
        <x:v>SUP007</x:v>
      </x:c>
      <x:c r="J116" t="str">
        <x:v>Precision Tools India</x:v>
      </x:c>
      <x:c r="K116" t="str">
        <x:v>Telangana</x:v>
      </x:c>
      <x:c r="L116" s="40" t="n">
        <x:v>1000</x:v>
      </x:c>
      <x:c r="M116" t="str">
        <x:v>PO200115</x:v>
      </x:c>
      <x:c r="N116" s="36" t="n">
        <x:v>46141</x:v>
      </x:c>
      <x:c r="O116" s="38" t="n">
        <x:v>437.32</x:v>
      </x:c>
      <x:c r="P116" t="str">
        <x:v>60 Days</x:v>
      </x:c>
      <x:c r="Q116" t="str">
        <x:v>R. Sharma</x:v>
      </x:c>
      <x:c r="R116" s="36" t="n">
        <x:v>46149</x:v>
      </x:c>
      <x:c r="S116" s="36" t="n">
        <x:v>46148</x:v>
      </x:c>
      <x:c r="T116" s="40" t="n">
        <x:v>1000</x:v>
      </x:c>
      <x:c r="U116" t="str">
        <x:v>INV300115</x:v>
      </x:c>
      <x:c r="V116" s="36" t="n">
        <x:v>46151</x:v>
      </x:c>
      <x:c r="W116" s="40" t="n">
        <x:v>1000</x:v>
      </x:c>
      <x:c r="X116" s="38" t="n">
        <x:v>437320</x:v>
      </x:c>
      <x:c r="Y116" t="str">
        <x:v>Pending Approval</x:v>
      </x:c>
      <x:c r="Z116" s="38" t="n">
        <x:f>ROUND(L116*O116,2)</x:f>
        <x:v>437320</x:v>
      </x:c>
      <x:c r="AA116" t="n">
        <x:f>IF(S116="","",S116-N116)</x:f>
        <x:v>7</x:v>
      </x:c>
      <x:c r="AB116" t="str">
        <x:f>IF(S116="","Open",IF(S116&lt;=R116,"On Time","Late"))</x:f>
        <x:v>On Time</x:v>
      </x:c>
      <x:c r="AC116" t="str">
        <x:f>IF(S116="","Open",IF(T116=L116,"Match","Mismatch"))</x:f>
        <x:v>Match</x:v>
      </x:c>
      <x:c r="AD116" t="str">
        <x:f>IF(V116="","Open",IF(ABS(X116-Z116)&lt;=1,"Match","Mismatch"))</x:f>
        <x:v>Match</x:v>
      </x:c>
      <x:c r="AE116" t="str">
        <x:f>IF(OR(AC116="Open",AD116="Open"),"Open",IF(AND(AC116="Match",AD116="Match",W116=T116),"Matched","Exception"))</x:f>
        <x:v>Matched</x:v>
      </x:c>
      <x:c r="AF116" s="40" t="n">
        <x:f>MAX(L116-T116,0)</x:f>
        <x:v>0</x:v>
      </x:c>
    </x:row>
    <x:row r="117">
      <x:c r="A117" t="str">
        <x:v>PR100116</x:v>
      </x:c>
      <x:c r="B117" s="36" t="n">
        <x:v>46150</x:v>
      </x:c>
      <x:c r="C117" t="str">
        <x:v>Civil Projects</x:v>
      </x:c>
      <x:c r="D117" t="str">
        <x:v>PRJ-003</x:v>
      </x:c>
      <x:c r="E117" t="str">
        <x:v>MAT040</x:v>
      </x:c>
      <x:c r="F117" t="str">
        <x:v>SS Fastener Set</x:v>
      </x:c>
      <x:c r="G117" t="str">
        <x:v>Hardware</x:v>
      </x:c>
      <x:c r="H117" t="str">
        <x:v>SET</x:v>
      </x:c>
      <x:c r="I117" t="str">
        <x:v>SUP009</x:v>
      </x:c>
      <x:c r="J117" t="str">
        <x:v>Nava Bharat Hardware</x:v>
      </x:c>
      <x:c r="K117" t="str">
        <x:v>Andhra Pradesh</x:v>
      </x:c>
      <x:c r="L117" s="40" t="n">
        <x:v>200</x:v>
      </x:c>
      <x:c r="M117" t="str">
        <x:v>PO200116</x:v>
      </x:c>
      <x:c r="N117" s="36" t="n">
        <x:v>46151</x:v>
      </x:c>
      <x:c r="O117" s="38" t="n">
        <x:v>115.76</x:v>
      </x:c>
      <x:c r="P117" t="str">
        <x:v>60 Days</x:v>
      </x:c>
      <x:c r="Q117" t="str">
        <x:v>M. Priya</x:v>
      </x:c>
      <x:c r="R117" s="36" t="n">
        <x:v>46156</x:v>
      </x:c>
      <x:c r="S117" s="36" t="n">
        <x:v>46156</x:v>
      </x:c>
      <x:c r="T117" s="40" t="n">
        <x:v>200</x:v>
      </x:c>
      <x:c r="U117" t="str">
        <x:v>INV300116</x:v>
      </x:c>
      <x:c r="V117" s="36" t="n">
        <x:v>46157</x:v>
      </x:c>
      <x:c r="W117" s="40" t="n">
        <x:v>200</x:v>
      </x:c>
      <x:c r="X117" s="38" t="n">
        <x:v>23152</x:v>
      </x:c>
      <x:c r="Y117" t="str">
        <x:v>Paid</x:v>
      </x:c>
      <x:c r="Z117" s="38" t="n">
        <x:f>ROUND(L117*O117,2)</x:f>
        <x:v>23152</x:v>
      </x:c>
      <x:c r="AA117" t="n">
        <x:f>IF(S117="","",S117-N117)</x:f>
        <x:v>5</x:v>
      </x:c>
      <x:c r="AB117" t="str">
        <x:f>IF(S117="","Open",IF(S117&lt;=R117,"On Time","Late"))</x:f>
        <x:v>On Time</x:v>
      </x:c>
      <x:c r="AC117" t="str">
        <x:f>IF(S117="","Open",IF(T117=L117,"Match","Mismatch"))</x:f>
        <x:v>Match</x:v>
      </x:c>
      <x:c r="AD117" t="str">
        <x:f>IF(V117="","Open",IF(ABS(X117-Z117)&lt;=1,"Match","Mismatch"))</x:f>
        <x:v>Match</x:v>
      </x:c>
      <x:c r="AE117" t="str">
        <x:f>IF(OR(AC117="Open",AD117="Open"),"Open",IF(AND(AC117="Match",AD117="Match",W117=T117),"Matched","Exception"))</x:f>
        <x:v>Matched</x:v>
      </x:c>
      <x:c r="AF117" s="40" t="n">
        <x:f>MAX(L117-T117,0)</x:f>
        <x:v>0</x:v>
      </x:c>
    </x:row>
    <x:row r="118">
      <x:c r="A118" t="str">
        <x:v>PR100117</x:v>
      </x:c>
      <x:c r="B118" s="36" t="n">
        <x:v>46191</x:v>
      </x:c>
      <x:c r="C118" t="str">
        <x:v>Maintenance</x:v>
      </x:c>
      <x:c r="D118" t="str">
        <x:v>PRJ-001</x:v>
      </x:c>
      <x:c r="E118" t="str">
        <x:v>MAT015</x:v>
      </x:c>
      <x:c r="F118" t="str">
        <x:v>Copper Cable 4 sqmm</x:v>
      </x:c>
      <x:c r="G118" t="str">
        <x:v>Electrical</x:v>
      </x:c>
      <x:c r="H118" t="str">
        <x:v>M</x:v>
      </x:c>
      <x:c r="I118" t="str">
        <x:v>SUP011</x:v>
      </x:c>
      <x:c r="J118" t="str">
        <x:v>Vertex Industrial Supply</x:v>
      </x:c>
      <x:c r="K118" t="str">
        <x:v>Maharashtra</x:v>
      </x:c>
      <x:c r="L118" s="40" t="n">
        <x:v>200</x:v>
      </x:c>
      <x:c r="M118" t="str">
        <x:v>PO200117</x:v>
      </x:c>
      <x:c r="N118" s="36" t="n">
        <x:v>46193</x:v>
      </x:c>
      <x:c r="O118" s="38" t="n">
        <x:v>79.01</x:v>
      </x:c>
      <x:c r="P118" t="str">
        <x:v>45 Days</x:v>
      </x:c>
      <x:c r="Q118" t="str">
        <x:v>R. Sharma</x:v>
      </x:c>
      <x:c r="R118" s="36" t="n">
        <x:v>46211</x:v>
      </x:c>
      <x:c r="S118" s="36" t="n">
        <x:v>46209</x:v>
      </x:c>
      <x:c r="T118" s="40" t="n">
        <x:v>180</x:v>
      </x:c>
      <x:c r="U118" t="str">
        <x:v>INV300117</x:v>
      </x:c>
      <x:c r="V118" s="36" t="n">
        <x:v>46215</x:v>
      </x:c>
      <x:c r="W118" s="40" t="n">
        <x:v>180</x:v>
      </x:c>
      <x:c r="X118" s="38" t="n">
        <x:v>15802</x:v>
      </x:c>
      <x:c r="Y118" t="str">
        <x:v>Paid</x:v>
      </x:c>
      <x:c r="Z118" s="38" t="n">
        <x:f>ROUND(L118*O118,2)</x:f>
        <x:v>15802</x:v>
      </x:c>
      <x:c r="AA118" t="n">
        <x:f>IF(S118="","",S118-N118)</x:f>
        <x:v>16</x:v>
      </x:c>
      <x:c r="AB118" t="str">
        <x:f>IF(S118="","Open",IF(S118&lt;=R118,"On Time","Late"))</x:f>
        <x:v>On Time</x:v>
      </x:c>
      <x:c r="AC118" t="str">
        <x:f>IF(S118="","Open",IF(T118=L118,"Match","Mismatch"))</x:f>
        <x:v>Mismatch</x:v>
      </x:c>
      <x:c r="AD118" t="str">
        <x:f>IF(V118="","Open",IF(ABS(X118-Z118)&lt;=1,"Match","Mismatch"))</x:f>
        <x:v>Match</x:v>
      </x:c>
      <x:c r="AE118" t="str">
        <x:f>IF(OR(AC118="Open",AD118="Open"),"Open",IF(AND(AC118="Match",AD118="Match",W118=T118),"Matched","Exception"))</x:f>
        <x:v>Exception</x:v>
      </x:c>
      <x:c r="AF118" s="40" t="n">
        <x:f>MAX(L118-T118,0)</x:f>
        <x:v>20</x:v>
      </x:c>
    </x:row>
    <x:row r="119">
      <x:c r="A119" t="str">
        <x:v>PR100118</x:v>
      </x:c>
      <x:c r="B119" s="36" t="n">
        <x:v>46240</x:v>
      </x:c>
      <x:c r="C119" t="str">
        <x:v>Maintenance</x:v>
      </x:c>
      <x:c r="D119" t="str">
        <x:v>PRJ-007</x:v>
      </x:c>
      <x:c r="E119" t="str">
        <x:v>MAT034</x:v>
      </x:c>
      <x:c r="F119" t="str">
        <x:v>Industrial Adhesive</x:v>
      </x:c>
      <x:c r="G119" t="str">
        <x:v>Consumables</x:v>
      </x:c>
      <x:c r="H119" t="str">
        <x:v>KG</x:v>
      </x:c>
      <x:c r="I119" t="str">
        <x:v>SUP009</x:v>
      </x:c>
      <x:c r="J119" t="str">
        <x:v>Nava Bharat Hardware</x:v>
      </x:c>
      <x:c r="K119" t="str">
        <x:v>Andhra Pradesh</x:v>
      </x:c>
      <x:c r="L119" s="40" t="n">
        <x:v>750</x:v>
      </x:c>
      <x:c r="M119" t="str">
        <x:v>PO200118</x:v>
      </x:c>
      <x:c r="N119" s="36" t="n">
        <x:v>46243</x:v>
      </x:c>
      <x:c r="O119" s="38" t="n">
        <x:v>400.3</x:v>
      </x:c>
      <x:c r="P119" t="str">
        <x:v>60 Days</x:v>
      </x:c>
      <x:c r="Q119" t="str">
        <x:v>S. Kumar</x:v>
      </x:c>
      <x:c r="R119" s="36" t="n">
        <x:v>46251</x:v>
      </x:c>
      <x:c r="S119" s="36" t="n">
        <x:v>46250</x:v>
      </x:c>
      <x:c r="T119" s="40" t="n">
        <x:v>750</x:v>
      </x:c>
      <x:c r="U119" t="str">
        <x:v>INV300118</x:v>
      </x:c>
      <x:c r="V119" s="36" t="n">
        <x:v>46256</x:v>
      </x:c>
      <x:c r="W119" s="40" t="n">
        <x:v>750</x:v>
      </x:c>
      <x:c r="X119" s="38" t="n">
        <x:v>300225</x:v>
      </x:c>
      <x:c r="Y119" t="str">
        <x:v>Paid</x:v>
      </x:c>
      <x:c r="Z119" s="38" t="n">
        <x:f>ROUND(L119*O119,2)</x:f>
        <x:v>300225</x:v>
      </x:c>
      <x:c r="AA119" t="n">
        <x:f>IF(S119="","",S119-N119)</x:f>
        <x:v>7</x:v>
      </x:c>
      <x:c r="AB119" t="str">
        <x:f>IF(S119="","Open",IF(S119&lt;=R119,"On Time","Late"))</x:f>
        <x:v>On Time</x:v>
      </x:c>
      <x:c r="AC119" t="str">
        <x:f>IF(S119="","Open",IF(T119=L119,"Match","Mismatch"))</x:f>
        <x:v>Match</x:v>
      </x:c>
      <x:c r="AD119" t="str">
        <x:f>IF(V119="","Open",IF(ABS(X119-Z119)&lt;=1,"Match","Mismatch"))</x:f>
        <x:v>Match</x:v>
      </x:c>
      <x:c r="AE119" t="str">
        <x:f>IF(OR(AC119="Open",AD119="Open"),"Open",IF(AND(AC119="Match",AD119="Match",W119=T119),"Matched","Exception"))</x:f>
        <x:v>Matched</x:v>
      </x:c>
      <x:c r="AF119" s="40" t="n">
        <x:f>MAX(L119-T119,0)</x:f>
        <x:v>0</x:v>
      </x:c>
    </x:row>
    <x:row r="120">
      <x:c r="A120" t="str">
        <x:v>PR100119</x:v>
      </x:c>
      <x:c r="B120" s="36" t="n">
        <x:v>46157</x:v>
      </x:c>
      <x:c r="C120" t="str">
        <x:v>Facilities</x:v>
      </x:c>
      <x:c r="D120" t="str">
        <x:v>PRJ-008</x:v>
      </x:c>
      <x:c r="E120" t="str">
        <x:v>MAT025</x:v>
      </x:c>
      <x:c r="F120" t="str">
        <x:v>Shuttering Plywood 12mm</x:v>
      </x:c>
      <x:c r="G120" t="str">
        <x:v>Formwork</x:v>
      </x:c>
      <x:c r="H120" t="str">
        <x:v>SHEET</x:v>
      </x:c>
      <x:c r="I120" t="str">
        <x:v>SUP010</x:v>
      </x:c>
      <x:c r="J120" t="str">
        <x:v>Urban Infra Materials</x:v>
      </x:c>
      <x:c r="K120" t="str">
        <x:v>Karnataka</x:v>
      </x:c>
      <x:c r="L120" s="40" t="n">
        <x:v>20</x:v>
      </x:c>
      <x:c r="M120" t="str">
        <x:v>PO200119</x:v>
      </x:c>
      <x:c r="N120" s="36" t="n">
        <x:v>46159</x:v>
      </x:c>
      <x:c r="O120" s="38" t="n">
        <x:v>1433.52</x:v>
      </x:c>
      <x:c r="P120" t="str">
        <x:v>30 Days</x:v>
      </x:c>
      <x:c r="Q120" t="str">
        <x:v>M. Priya</x:v>
      </x:c>
      <x:c r="R120" s="36" t="n">
        <x:v>46173</x:v>
      </x:c>
      <x:c r="S120" s="36" t="n">
        <x:v>46177</x:v>
      </x:c>
      <x:c r="T120" s="40" t="n">
        <x:v>10</x:v>
      </x:c>
      <x:c r="U120" t="str">
        <x:v>INV300119</x:v>
      </x:c>
      <x:c r="V120" s="36" t="n">
        <x:v>46183</x:v>
      </x:c>
      <x:c r="W120" s="40" t="n">
        <x:v>10</x:v>
      </x:c>
      <x:c r="X120" s="38" t="n">
        <x:v>27523.58</x:v>
      </x:c>
      <x:c r="Y120" t="str">
        <x:v>Paid</x:v>
      </x:c>
      <x:c r="Z120" s="38" t="n">
        <x:f>ROUND(L120*O120,2)</x:f>
        <x:v>28670.4</x:v>
      </x:c>
      <x:c r="AA120" t="n">
        <x:f>IF(S120="","",S120-N120)</x:f>
        <x:v>18</x:v>
      </x:c>
      <x:c r="AB120" t="str">
        <x:f>IF(S120="","Open",IF(S120&lt;=R120,"On Time","Late"))</x:f>
        <x:v>Late</x:v>
      </x:c>
      <x:c r="AC120" t="str">
        <x:f>IF(S120="","Open",IF(T120=L120,"Match","Mismatch"))</x:f>
        <x:v>Mismatch</x:v>
      </x:c>
      <x:c r="AD120" t="str">
        <x:f>IF(V120="","Open",IF(ABS(X120-Z120)&lt;=1,"Match","Mismatch"))</x:f>
        <x:v>Mismatch</x:v>
      </x:c>
      <x:c r="AE120" t="str">
        <x:f>IF(OR(AC120="Open",AD120="Open"),"Open",IF(AND(AC120="Match",AD120="Match",W120=T120),"Matched","Exception"))</x:f>
        <x:v>Exception</x:v>
      </x:c>
      <x:c r="AF120" s="40" t="n">
        <x:f>MAX(L120-T120,0)</x:f>
        <x:v>10</x:v>
      </x:c>
    </x:row>
    <x:row r="121">
      <x:c r="A121" t="str">
        <x:v>PR100120</x:v>
      </x:c>
      <x:c r="B121" s="36" t="n">
        <x:v>46135</x:v>
      </x:c>
      <x:c r="C121" t="str">
        <x:v>Operations</x:v>
      </x:c>
      <x:c r="D121" t="str">
        <x:v>PRJ-005</x:v>
      </x:c>
      <x:c r="E121" t="str">
        <x:v>MAT020</x:v>
      </x:c>
      <x:c r="F121" t="str">
        <x:v>Safety Shoes</x:v>
      </x:c>
      <x:c r="G121" t="str">
        <x:v>Safety</x:v>
      </x:c>
      <x:c r="H121" t="str">
        <x:v>PAIR</x:v>
      </x:c>
      <x:c r="I121" t="str">
        <x:v>SUP006</x:v>
      </x:c>
      <x:c r="J121" t="str">
        <x:v>SafeSite Industrial</x:v>
      </x:c>
      <x:c r="K121" t="str">
        <x:v>Karnataka</x:v>
      </x:c>
      <x:c r="L121" s="40" t="n">
        <x:v>100</x:v>
      </x:c>
      <x:c r="M121" t="str">
        <x:v>PO200120</x:v>
      </x:c>
      <x:c r="N121" s="36" t="n">
        <x:v>46136</x:v>
      </x:c>
      <x:c r="O121" s="38" t="n">
        <x:v>1572.67</x:v>
      </x:c>
      <x:c r="P121" t="str">
        <x:v>45 Days</x:v>
      </x:c>
      <x:c r="Q121" t="str">
        <x:v>M. Priya</x:v>
      </x:c>
      <x:c r="R121" s="36" t="n">
        <x:v>46151</x:v>
      </x:c>
      <x:c r="S121" s="36" t="n">
        <x:v>46148</x:v>
      </x:c>
      <x:c r="T121" s="40" t="n">
        <x:v>100</x:v>
      </x:c>
      <x:c r="U121" t="str">
        <x:v>INV300120</x:v>
      </x:c>
      <x:c r="V121" s="36" t="n">
        <x:v>46153</x:v>
      </x:c>
      <x:c r="W121" s="40" t="n">
        <x:v>100</x:v>
      </x:c>
      <x:c r="X121" s="38" t="n">
        <x:v>157267</x:v>
      </x:c>
      <x:c r="Y121" t="str">
        <x:v>Paid</x:v>
      </x:c>
      <x:c r="Z121" s="38" t="n">
        <x:f>ROUND(L121*O121,2)</x:f>
        <x:v>157267</x:v>
      </x:c>
      <x:c r="AA121" t="n">
        <x:f>IF(S121="","",S121-N121)</x:f>
        <x:v>12</x:v>
      </x:c>
      <x:c r="AB121" t="str">
        <x:f>IF(S121="","Open",IF(S121&lt;=R121,"On Time","Late"))</x:f>
        <x:v>On Time</x:v>
      </x:c>
      <x:c r="AC121" t="str">
        <x:f>IF(S121="","Open",IF(T121=L121,"Match","Mismatch"))</x:f>
        <x:v>Match</x:v>
      </x:c>
      <x:c r="AD121" t="str">
        <x:f>IF(V121="","Open",IF(ABS(X121-Z121)&lt;=1,"Match","Mismatch"))</x:f>
        <x:v>Match</x:v>
      </x:c>
      <x:c r="AE121" t="str">
        <x:f>IF(OR(AC121="Open",AD121="Open"),"Open",IF(AND(AC121="Match",AD121="Match",W121=T121),"Matched","Exception"))</x:f>
        <x:v>Matched</x:v>
      </x:c>
      <x:c r="AF121" s="40" t="n">
        <x:f>MAX(L121-T121,0)</x:f>
        <x:v>0</x:v>
      </x:c>
    </x:row>
    <x:row r="122">
      <x:c r="A122" t="str">
        <x:v>PR100121</x:v>
      </x:c>
      <x:c r="B122" s="36" t="n">
        <x:v>46265</x:v>
      </x:c>
      <x:c r="C122" t="str">
        <x:v>Maintenance</x:v>
      </x:c>
      <x:c r="D122" t="str">
        <x:v>PRJ-005</x:v>
      </x:c>
      <x:c r="E122" t="str">
        <x:v>MAT033</x:v>
      </x:c>
      <x:c r="F122" t="str">
        <x:v>Barcode Labels</x:v>
      </x:c>
      <x:c r="G122" t="str">
        <x:v>Office Supplies</x:v>
      </x:c>
      <x:c r="H122" t="str">
        <x:v>PACK</x:v>
      </x:c>
      <x:c r="I122" t="str">
        <x:v>SUP008</x:v>
      </x:c>
      <x:c r="J122" t="str">
        <x:v>Prime Office Solutions</x:v>
      </x:c>
      <x:c r="K122" t="str">
        <x:v>Telangana</x:v>
      </x:c>
      <x:c r="L122" s="40" t="n">
        <x:v>50</x:v>
      </x:c>
      <x:c r="M122" t="str">
        <x:v>PO200121</x:v>
      </x:c>
      <x:c r="N122" s="36" t="n">
        <x:v>46267</x:v>
      </x:c>
      <x:c r="O122" s="38" t="n">
        <x:v>704.98</x:v>
      </x:c>
      <x:c r="P122" t="str">
        <x:v>30 Days</x:v>
      </x:c>
      <x:c r="Q122" t="str">
        <x:v>S. Kumar</x:v>
      </x:c>
      <x:c r="R122" s="36" t="n">
        <x:v>46283</x:v>
      </x:c>
      <x:c r="S122" s="36" t="n">
        <x:v>46282</x:v>
      </x:c>
      <x:c r="T122" s="40" t="n">
        <x:v>50</x:v>
      </x:c>
      <x:c r="U122" t="str">
        <x:v>INV300121</x:v>
      </x:c>
      <x:c r="V122" s="36" t="n">
        <x:v>46283</x:v>
      </x:c>
      <x:c r="W122" s="40" t="n">
        <x:v>50</x:v>
      </x:c>
      <x:c r="X122" s="38" t="n">
        <x:v>35249</x:v>
      </x:c>
      <x:c r="Y122" t="str">
        <x:v>Paid</x:v>
      </x:c>
      <x:c r="Z122" s="38" t="n">
        <x:f>ROUND(L122*O122,2)</x:f>
        <x:v>35249</x:v>
      </x:c>
      <x:c r="AA122" t="n">
        <x:f>IF(S122="","",S122-N122)</x:f>
        <x:v>15</x:v>
      </x:c>
      <x:c r="AB122" t="str">
        <x:f>IF(S122="","Open",IF(S122&lt;=R122,"On Time","Late"))</x:f>
        <x:v>On Time</x:v>
      </x:c>
      <x:c r="AC122" t="str">
        <x:f>IF(S122="","Open",IF(T122=L122,"Match","Mismatch"))</x:f>
        <x:v>Match</x:v>
      </x:c>
      <x:c r="AD122" t="str">
        <x:f>IF(V122="","Open",IF(ABS(X122-Z122)&lt;=1,"Match","Mismatch"))</x:f>
        <x:v>Match</x:v>
      </x:c>
      <x:c r="AE122" t="str">
        <x:f>IF(OR(AC122="Open",AD122="Open"),"Open",IF(AND(AC122="Match",AD122="Match",W122=T122),"Matched","Exception"))</x:f>
        <x:v>Matched</x:v>
      </x:c>
      <x:c r="AF122" s="40" t="n">
        <x:f>MAX(L122-T122,0)</x:f>
        <x:v>0</x:v>
      </x:c>
    </x:row>
    <x:row r="123">
      <x:c r="A123" t="str">
        <x:v>PR100122</x:v>
      </x:c>
      <x:c r="B123" s="36" t="n">
        <x:v>46221</x:v>
      </x:c>
      <x:c r="C123" t="str">
        <x:v>Maintenance</x:v>
      </x:c>
      <x:c r="D123" t="str">
        <x:v>PRJ-003</x:v>
      </x:c>
      <x:c r="E123" t="str">
        <x:v>MAT022</x:v>
      </x:c>
      <x:c r="F123" t="str">
        <x:v>Hammer Drill</x:v>
      </x:c>
      <x:c r="G123" t="str">
        <x:v>Tools</x:v>
      </x:c>
      <x:c r="H123" t="str">
        <x:v>EA</x:v>
      </x:c>
      <x:c r="I123" t="str">
        <x:v>SUP007</x:v>
      </x:c>
      <x:c r="J123" t="str">
        <x:v>Precision Tools India</x:v>
      </x:c>
      <x:c r="K123" t="str">
        <x:v>Telangana</x:v>
      </x:c>
      <x:c r="L123" s="40" t="n">
        <x:v>50</x:v>
      </x:c>
      <x:c r="M123" t="str">
        <x:v>PO200122</x:v>
      </x:c>
      <x:c r="N123" s="36" t="n">
        <x:v>46223</x:v>
      </x:c>
      <x:c r="O123" s="38" t="n">
        <x:v>6570.97</x:v>
      </x:c>
      <x:c r="P123" t="str">
        <x:v>60 Days</x:v>
      </x:c>
      <x:c r="Q123" t="str">
        <x:v>A. Reddy</x:v>
      </x:c>
      <x:c r="R123" s="36" t="n">
        <x:v>46235</x:v>
      </x:c>
      <x:c r="S123" s="36" t="n">
        <x:v>46232</x:v>
      </x:c>
      <x:c r="T123" s="40" t="n">
        <x:v>50</x:v>
      </x:c>
      <x:c r="U123" t="str">
        <x:v>INV300122</x:v>
      </x:c>
      <x:c r="V123" s="36" t="n">
        <x:v>46238</x:v>
      </x:c>
      <x:c r="W123" s="40" t="n">
        <x:v>50</x:v>
      </x:c>
      <x:c r="X123" s="38" t="n">
        <x:v>328548.5</x:v>
      </x:c>
      <x:c r="Y123" t="str">
        <x:v>Paid</x:v>
      </x:c>
      <x:c r="Z123" s="38" t="n">
        <x:f>ROUND(L123*O123,2)</x:f>
        <x:v>328548.5</x:v>
      </x:c>
      <x:c r="AA123" t="n">
        <x:f>IF(S123="","",S123-N123)</x:f>
        <x:v>9</x:v>
      </x:c>
      <x:c r="AB123" t="str">
        <x:f>IF(S123="","Open",IF(S123&lt;=R123,"On Time","Late"))</x:f>
        <x:v>On Time</x:v>
      </x:c>
      <x:c r="AC123" t="str">
        <x:f>IF(S123="","Open",IF(T123=L123,"Match","Mismatch"))</x:f>
        <x:v>Match</x:v>
      </x:c>
      <x:c r="AD123" t="str">
        <x:f>IF(V123="","Open",IF(ABS(X123-Z123)&lt;=1,"Match","Mismatch"))</x:f>
        <x:v>Match</x:v>
      </x:c>
      <x:c r="AE123" t="str">
        <x:f>IF(OR(AC123="Open",AD123="Open"),"Open",IF(AND(AC123="Match",AD123="Match",W123=T123),"Matched","Exception"))</x:f>
        <x:v>Matched</x:v>
      </x:c>
      <x:c r="AF123" s="40" t="n">
        <x:f>MAX(L123-T123,0)</x:f>
        <x:v>0</x:v>
      </x:c>
    </x:row>
    <x:row r="124">
      <x:c r="A124" t="str">
        <x:v>PR100123</x:v>
      </x:c>
      <x:c r="B124" s="36" t="n">
        <x:v>46065</x:v>
      </x:c>
      <x:c r="C124" t="str">
        <x:v>Maintenance</x:v>
      </x:c>
      <x:c r="D124" t="str">
        <x:v>PRJ-008</x:v>
      </x:c>
      <x:c r="E124" t="str">
        <x:v>MAT034</x:v>
      </x:c>
      <x:c r="F124" t="str">
        <x:v>Industrial Adhesive</x:v>
      </x:c>
      <x:c r="G124" t="str">
        <x:v>Consumables</x:v>
      </x:c>
      <x:c r="H124" t="str">
        <x:v>KG</x:v>
      </x:c>
      <x:c r="I124" t="str">
        <x:v>SUP007</x:v>
      </x:c>
      <x:c r="J124" t="str">
        <x:v>Precision Tools India</x:v>
      </x:c>
      <x:c r="K124" t="str">
        <x:v>Telangana</x:v>
      </x:c>
      <x:c r="L124" s="40" t="n">
        <x:v>200</x:v>
      </x:c>
      <x:c r="M124" t="str">
        <x:v>PO200123</x:v>
      </x:c>
      <x:c r="N124" s="36" t="n">
        <x:v>46065</x:v>
      </x:c>
      <x:c r="O124" s="38" t="n">
        <x:v>450.1</x:v>
      </x:c>
      <x:c r="P124" t="str">
        <x:v>30 Days</x:v>
      </x:c>
      <x:c r="Q124" t="str">
        <x:v>A. Reddy</x:v>
      </x:c>
      <x:c r="R124" s="36" t="n">
        <x:v>46075</x:v>
      </x:c>
      <x:c r="S124" s="36" t="n">
        <x:v>46075</x:v>
      </x:c>
      <x:c r="T124" s="40" t="n">
        <x:v>200</x:v>
      </x:c>
      <x:c r="U124" t="str">
        <x:v>INV300123</x:v>
      </x:c>
      <x:c r="V124" s="36" t="n">
        <x:v>46079</x:v>
      </x:c>
      <x:c r="W124" s="40" t="n">
        <x:v>200</x:v>
      </x:c>
      <x:c r="X124" s="38" t="n">
        <x:v>90020</x:v>
      </x:c>
      <x:c r="Y124" t="str">
        <x:v>Paid</x:v>
      </x:c>
      <x:c r="Z124" s="38" t="n">
        <x:f>ROUND(L124*O124,2)</x:f>
        <x:v>90020</x:v>
      </x:c>
      <x:c r="AA124" t="n">
        <x:f>IF(S124="","",S124-N124)</x:f>
        <x:v>10</x:v>
      </x:c>
      <x:c r="AB124" t="str">
        <x:f>IF(S124="","Open",IF(S124&lt;=R124,"On Time","Late"))</x:f>
        <x:v>On Time</x:v>
      </x:c>
      <x:c r="AC124" t="str">
        <x:f>IF(S124="","Open",IF(T124=L124,"Match","Mismatch"))</x:f>
        <x:v>Match</x:v>
      </x:c>
      <x:c r="AD124" t="str">
        <x:f>IF(V124="","Open",IF(ABS(X124-Z124)&lt;=1,"Match","Mismatch"))</x:f>
        <x:v>Match</x:v>
      </x:c>
      <x:c r="AE124" t="str">
        <x:f>IF(OR(AC124="Open",AD124="Open"),"Open",IF(AND(AC124="Match",AD124="Match",W124=T124),"Matched","Exception"))</x:f>
        <x:v>Matched</x:v>
      </x:c>
      <x:c r="AF124" s="40" t="n">
        <x:f>MAX(L124-T124,0)</x:f>
        <x:v>0</x:v>
      </x:c>
    </x:row>
    <x:row r="125">
      <x:c r="A125" t="str">
        <x:v>PR100124</x:v>
      </x:c>
      <x:c r="B125" s="36" t="n">
        <x:v>46033</x:v>
      </x:c>
      <x:c r="C125" t="str">
        <x:v>Facilities</x:v>
      </x:c>
      <x:c r="D125" t="str">
        <x:v>PRJ-005</x:v>
      </x:c>
      <x:c r="E125" t="str">
        <x:v>MAT035</x:v>
      </x:c>
      <x:c r="F125" t="str">
        <x:v>Welding Electrode</x:v>
      </x:c>
      <x:c r="G125" t="str">
        <x:v>Consumables</x:v>
      </x:c>
      <x:c r="H125" t="str">
        <x:v>KG</x:v>
      </x:c>
      <x:c r="I125" t="str">
        <x:v>SUP009</x:v>
      </x:c>
      <x:c r="J125" t="str">
        <x:v>Nava Bharat Hardware</x:v>
      </x:c>
      <x:c r="K125" t="str">
        <x:v>Andhra Pradesh</x:v>
      </x:c>
      <x:c r="L125" s="40" t="n">
        <x:v>300</x:v>
      </x:c>
      <x:c r="M125" t="str">
        <x:v>PO200124</x:v>
      </x:c>
      <x:c r="N125" s="36" t="n">
        <x:v>46035</x:v>
      </x:c>
      <x:c r="O125" s="38" t="n">
        <x:v>294.77</x:v>
      </x:c>
      <x:c r="P125" t="str">
        <x:v>45 Days</x:v>
      </x:c>
      <x:c r="Q125" t="str">
        <x:v>M. Priya</x:v>
      </x:c>
      <x:c r="R125" s="36" t="n">
        <x:v>46050</x:v>
      </x:c>
      <x:c r="S125" s="36" t="n">
        <x:v>46047</x:v>
      </x:c>
      <x:c r="T125" s="40" t="n">
        <x:v>300</x:v>
      </x:c>
      <x:c r="U125" t="str">
        <x:v>INV300124</x:v>
      </x:c>
      <x:c r="V125" s="36" t="n">
        <x:v>46049</x:v>
      </x:c>
      <x:c r="W125" s="40" t="n">
        <x:v>300</x:v>
      </x:c>
      <x:c r="X125" s="38" t="n">
        <x:v>88431</x:v>
      </x:c>
      <x:c r="Y125" t="str">
        <x:v>Paid</x:v>
      </x:c>
      <x:c r="Z125" s="38" t="n">
        <x:f>ROUND(L125*O125,2)</x:f>
        <x:v>88431</x:v>
      </x:c>
      <x:c r="AA125" t="n">
        <x:f>IF(S125="","",S125-N125)</x:f>
        <x:v>12</x:v>
      </x:c>
      <x:c r="AB125" t="str">
        <x:f>IF(S125="","Open",IF(S125&lt;=R125,"On Time","Late"))</x:f>
        <x:v>On Time</x:v>
      </x:c>
      <x:c r="AC125" t="str">
        <x:f>IF(S125="","Open",IF(T125=L125,"Match","Mismatch"))</x:f>
        <x:v>Match</x:v>
      </x:c>
      <x:c r="AD125" t="str">
        <x:f>IF(V125="","Open",IF(ABS(X125-Z125)&lt;=1,"Match","Mismatch"))</x:f>
        <x:v>Match</x:v>
      </x:c>
      <x:c r="AE125" t="str">
        <x:f>IF(OR(AC125="Open",AD125="Open"),"Open",IF(AND(AC125="Match",AD125="Match",W125=T125),"Matched","Exception"))</x:f>
        <x:v>Matched</x:v>
      </x:c>
      <x:c r="AF125" s="40" t="n">
        <x:f>MAX(L125-T125,0)</x:f>
        <x:v>0</x:v>
      </x:c>
    </x:row>
    <x:row r="126">
      <x:c r="A126" t="str">
        <x:v>PR100125</x:v>
      </x:c>
      <x:c r="B126" s="36" t="n">
        <x:v>46218</x:v>
      </x:c>
      <x:c r="C126" t="str">
        <x:v>Maintenance</x:v>
      </x:c>
      <x:c r="D126" t="str">
        <x:v>PRJ-001</x:v>
      </x:c>
      <x:c r="E126" t="str">
        <x:v>MAT026</x:v>
      </x:c>
      <x:c r="F126" t="str">
        <x:v>MS Scaffolding Pipe</x:v>
      </x:c>
      <x:c r="G126" t="str">
        <x:v>Formwork</x:v>
      </x:c>
      <x:c r="H126" t="str">
        <x:v>M</x:v>
      </x:c>
      <x:c r="I126" t="str">
        <x:v>SUP010</x:v>
      </x:c>
      <x:c r="J126" t="str">
        <x:v>Urban Infra Materials</x:v>
      </x:c>
      <x:c r="K126" t="str">
        <x:v>Karnataka</x:v>
      </x:c>
      <x:c r="L126" s="40" t="n">
        <x:v>250</x:v>
      </x:c>
      <x:c r="M126" t="str">
        <x:v>PO200125</x:v>
      </x:c>
      <x:c r="N126" s="36" t="n">
        <x:v>46222</x:v>
      </x:c>
      <x:c r="O126" s="38" t="n">
        <x:v>669.93</x:v>
      </x:c>
      <x:c r="P126" t="str">
        <x:v>60 Days</x:v>
      </x:c>
      <x:c r="Q126" t="str">
        <x:v>A. Reddy</x:v>
      </x:c>
      <x:c r="R126" s="36" t="n">
        <x:v>46235</x:v>
      </x:c>
      <x:c r="S126" s="36" t="n">
        <x:v>46235</x:v>
      </x:c>
      <x:c r="T126" s="40" t="n">
        <x:v>250</x:v>
      </x:c>
      <x:c r="U126" t="str">
        <x:v>INV300125</x:v>
      </x:c>
      <x:c r="V126" s="36" t="n">
        <x:v>46242</x:v>
      </x:c>
      <x:c r="W126" s="40" t="n">
        <x:v>250</x:v>
      </x:c>
      <x:c r="X126" s="38" t="n">
        <x:v>174181.8</x:v>
      </x:c>
      <x:c r="Y126" t="str">
        <x:v>Paid</x:v>
      </x:c>
      <x:c r="Z126" s="38" t="n">
        <x:f>ROUND(L126*O126,2)</x:f>
        <x:v>167482.5</x:v>
      </x:c>
      <x:c r="AA126" t="n">
        <x:f>IF(S126="","",S126-N126)</x:f>
        <x:v>13</x:v>
      </x:c>
      <x:c r="AB126" t="str">
        <x:f>IF(S126="","Open",IF(S126&lt;=R126,"On Time","Late"))</x:f>
        <x:v>On Time</x:v>
      </x:c>
      <x:c r="AC126" t="str">
        <x:f>IF(S126="","Open",IF(T126=L126,"Match","Mismatch"))</x:f>
        <x:v>Match</x:v>
      </x:c>
      <x:c r="AD126" t="str">
        <x:f>IF(V126="","Open",IF(ABS(X126-Z126)&lt;=1,"Match","Mismatch"))</x:f>
        <x:v>Mismatch</x:v>
      </x:c>
      <x:c r="AE126" t="str">
        <x:f>IF(OR(AC126="Open",AD126="Open"),"Open",IF(AND(AC126="Match",AD126="Match",W126=T126),"Matched","Exception"))</x:f>
        <x:v>Exception</x:v>
      </x:c>
      <x:c r="AF126" s="40" t="n">
        <x:f>MAX(L126-T126,0)</x:f>
        <x:v>0</x:v>
      </x:c>
    </x:row>
    <x:row r="127">
      <x:c r="A127" t="str">
        <x:v>PR100126</x:v>
      </x:c>
      <x:c r="B127" s="36" t="n">
        <x:v>46282</x:v>
      </x:c>
      <x:c r="C127" t="str">
        <x:v>Civil Projects</x:v>
      </x:c>
      <x:c r="D127" t="str">
        <x:v>PRJ-003</x:v>
      </x:c>
      <x:c r="E127" t="str">
        <x:v>MAT011</x:v>
      </x:c>
      <x:c r="F127" t="str">
        <x:v>Red Clay Brick</x:v>
      </x:c>
      <x:c r="G127" t="str">
        <x:v>Masonry</x:v>
      </x:c>
      <x:c r="H127" t="str">
        <x:v>EA</x:v>
      </x:c>
      <x:c r="I127" t="str">
        <x:v>SUP009</x:v>
      </x:c>
      <x:c r="J127" t="str">
        <x:v>Nava Bharat Hardware</x:v>
      </x:c>
      <x:c r="K127" t="str">
        <x:v>Andhra Pradesh</x:v>
      </x:c>
      <x:c r="L127" s="40" t="n">
        <x:v>20</x:v>
      </x:c>
      <x:c r="M127" t="str">
        <x:v>PO200126</x:v>
      </x:c>
      <x:c r="N127" s="36" t="n">
        <x:v>46286</x:v>
      </x:c>
      <x:c r="O127" s="38" t="n">
        <x:v>11.89</x:v>
      </x:c>
      <x:c r="P127" t="str">
        <x:v>45 Days</x:v>
      </x:c>
      <x:c r="Q127" t="str">
        <x:v>A. Reddy</x:v>
      </x:c>
      <x:c r="R127" s="36" t="n">
        <x:v>46299</x:v>
      </x:c>
      <x:c r="S127" s="36" t="n">
        <x:v>46296</x:v>
      </x:c>
      <x:c r="T127" s="40" t="n">
        <x:v>20</x:v>
      </x:c>
      <x:c r="U127" t="str">
        <x:v>INV300126</x:v>
      </x:c>
      <x:c r="V127" s="36" t="n">
        <x:v>46297</x:v>
      </x:c>
      <x:c r="W127" s="40" t="n">
        <x:v>20</x:v>
      </x:c>
      <x:c r="X127" s="38" t="n">
        <x:v>237.8</x:v>
      </x:c>
      <x:c r="Y127" t="str">
        <x:v>Paid</x:v>
      </x:c>
      <x:c r="Z127" s="38" t="n">
        <x:f>ROUND(L127*O127,2)</x:f>
        <x:v>237.8</x:v>
      </x:c>
      <x:c r="AA127" t="n">
        <x:f>IF(S127="","",S127-N127)</x:f>
        <x:v>10</x:v>
      </x:c>
      <x:c r="AB127" t="str">
        <x:f>IF(S127="","Open",IF(S127&lt;=R127,"On Time","Late"))</x:f>
        <x:v>On Time</x:v>
      </x:c>
      <x:c r="AC127" t="str">
        <x:f>IF(S127="","Open",IF(T127=L127,"Match","Mismatch"))</x:f>
        <x:v>Match</x:v>
      </x:c>
      <x:c r="AD127" t="str">
        <x:f>IF(V127="","Open",IF(ABS(X127-Z127)&lt;=1,"Match","Mismatch"))</x:f>
        <x:v>Match</x:v>
      </x:c>
      <x:c r="AE127" t="str">
        <x:f>IF(OR(AC127="Open",AD127="Open"),"Open",IF(AND(AC127="Match",AD127="Match",W127=T127),"Matched","Exception"))</x:f>
        <x:v>Matched</x:v>
      </x:c>
      <x:c r="AF127" s="40" t="n">
        <x:f>MAX(L127-T127,0)</x:f>
        <x:v>0</x:v>
      </x:c>
    </x:row>
    <x:row r="128">
      <x:c r="A128" t="str">
        <x:v>PR100127</x:v>
      </x:c>
      <x:c r="B128" s="36" t="n">
        <x:v>46230</x:v>
      </x:c>
      <x:c r="C128" t="str">
        <x:v>Operations</x:v>
      </x:c>
      <x:c r="D128" t="str">
        <x:v>PRJ-001</x:v>
      </x:c>
      <x:c r="E128" t="str">
        <x:v>MAT014</x:v>
      </x:c>
      <x:c r="F128" t="str">
        <x:v>GI Pipe 50mm</x:v>
      </x:c>
      <x:c r="G128" t="str">
        <x:v>Plumbing</x:v>
      </x:c>
      <x:c r="H128" t="str">
        <x:v>M</x:v>
      </x:c>
      <x:c r="I128" t="str">
        <x:v>SUP005</x:v>
      </x:c>
      <x:c r="J128" t="str">
        <x:v>AquaFlow Pipes &amp; Fittings</x:v>
      </x:c>
      <x:c r="K128" t="str">
        <x:v>Telangana</x:v>
      </x:c>
      <x:c r="L128" s="40" t="n">
        <x:v>2000</x:v>
      </x:c>
      <x:c r="M128" t="str">
        <x:v>PO200127</x:v>
      </x:c>
      <x:c r="N128" s="36" t="n">
        <x:v>46232</x:v>
      </x:c>
      <x:c r="O128" s="38" t="n">
        <x:v>520.17</x:v>
      </x:c>
      <x:c r="P128" t="str">
        <x:v>30 Days</x:v>
      </x:c>
      <x:c r="Q128" t="str">
        <x:v>R. Sharma</x:v>
      </x:c>
      <x:c r="R128" s="36" t="n">
        <x:v>46238</x:v>
      </x:c>
      <x:c r="S128" s="36" t="n">
        <x:v>46236</x:v>
      </x:c>
      <x:c r="T128" s="40" t="n">
        <x:v>2000</x:v>
      </x:c>
      <x:c r="U128" t="str">
        <x:v>INV300127</x:v>
      </x:c>
      <x:c r="V128" s="36" t="n">
        <x:v>46242</x:v>
      </x:c>
      <x:c r="W128" s="40" t="n">
        <x:v>2000</x:v>
      </x:c>
      <x:c r="X128" s="38" t="n">
        <x:v>1040340</x:v>
      </x:c>
      <x:c r="Y128" t="str">
        <x:v>Paid</x:v>
      </x:c>
      <x:c r="Z128" s="38" t="n">
        <x:f>ROUND(L128*O128,2)</x:f>
        <x:v>1040340</x:v>
      </x:c>
      <x:c r="AA128" t="n">
        <x:f>IF(S128="","",S128-N128)</x:f>
        <x:v>4</x:v>
      </x:c>
      <x:c r="AB128" t="str">
        <x:f>IF(S128="","Open",IF(S128&lt;=R128,"On Time","Late"))</x:f>
        <x:v>On Time</x:v>
      </x:c>
      <x:c r="AC128" t="str">
        <x:f>IF(S128="","Open",IF(T128=L128,"Match","Mismatch"))</x:f>
        <x:v>Match</x:v>
      </x:c>
      <x:c r="AD128" t="str">
        <x:f>IF(V128="","Open",IF(ABS(X128-Z128)&lt;=1,"Match","Mismatch"))</x:f>
        <x:v>Match</x:v>
      </x:c>
      <x:c r="AE128" t="str">
        <x:f>IF(OR(AC128="Open",AD128="Open"),"Open",IF(AND(AC128="Match",AD128="Match",W128=T128),"Matched","Exception"))</x:f>
        <x:v>Matched</x:v>
      </x:c>
      <x:c r="AF128" s="40" t="n">
        <x:f>MAX(L128-T128,0)</x:f>
        <x:v>0</x:v>
      </x:c>
    </x:row>
    <x:row r="129">
      <x:c r="A129" t="str">
        <x:v>PR100128</x:v>
      </x:c>
      <x:c r="B129" s="36" t="n">
        <x:v>46201</x:v>
      </x:c>
      <x:c r="C129" t="str">
        <x:v>Operations</x:v>
      </x:c>
      <x:c r="D129" t="str">
        <x:v>PRJ-004</x:v>
      </x:c>
      <x:c r="E129" t="str">
        <x:v>MAT015</x:v>
      </x:c>
      <x:c r="F129" t="str">
        <x:v>Copper Cable 4 sqmm</x:v>
      </x:c>
      <x:c r="G129" t="str">
        <x:v>Electrical</x:v>
      </x:c>
      <x:c r="H129" t="str">
        <x:v>M</x:v>
      </x:c>
      <x:c r="I129" t="str">
        <x:v>SUP004</x:v>
      </x:c>
      <x:c r="J129" t="str">
        <x:v>Southline Electricals</x:v>
      </x:c>
      <x:c r="K129" t="str">
        <x:v>Telangana</x:v>
      </x:c>
      <x:c r="L129" s="40" t="n">
        <x:v>300</x:v>
      </x:c>
      <x:c r="M129" t="str">
        <x:v>PO200128</x:v>
      </x:c>
      <x:c r="N129" s="36" t="n">
        <x:v>46205</x:v>
      </x:c>
      <x:c r="O129" s="38" t="n">
        <x:v>76.39</x:v>
      </x:c>
      <x:c r="P129" t="str">
        <x:v>60 Days</x:v>
      </x:c>
      <x:c r="Q129" t="str">
        <x:v>A. Reddy</x:v>
      </x:c>
      <x:c r="R129" s="36" t="n">
        <x:v>46209</x:v>
      </x:c>
      <x:c r="S129" s="36" t="n">
        <x:v>46206</x:v>
      </x:c>
      <x:c r="T129" s="40" t="n">
        <x:v>300</x:v>
      </x:c>
      <x:c r="U129" t="str">
        <x:v>INV300128</x:v>
      </x:c>
      <x:c r="V129" s="36" t="n">
        <x:v>46212</x:v>
      </x:c>
      <x:c r="W129" s="40" t="n">
        <x:v>300</x:v>
      </x:c>
      <x:c r="X129" s="38" t="n">
        <x:v>22917</x:v>
      </x:c>
      <x:c r="Y129" t="str">
        <x:v>Paid</x:v>
      </x:c>
      <x:c r="Z129" s="38" t="n">
        <x:f>ROUND(L129*O129,2)</x:f>
        <x:v>22917</x:v>
      </x:c>
      <x:c r="AA129" t="n">
        <x:f>IF(S129="","",S129-N129)</x:f>
        <x:v>1</x:v>
      </x:c>
      <x:c r="AB129" t="str">
        <x:f>IF(S129="","Open",IF(S129&lt;=R129,"On Time","Late"))</x:f>
        <x:v>On Time</x:v>
      </x:c>
      <x:c r="AC129" t="str">
        <x:f>IF(S129="","Open",IF(T129=L129,"Match","Mismatch"))</x:f>
        <x:v>Match</x:v>
      </x:c>
      <x:c r="AD129" t="str">
        <x:f>IF(V129="","Open",IF(ABS(X129-Z129)&lt;=1,"Match","Mismatch"))</x:f>
        <x:v>Match</x:v>
      </x:c>
      <x:c r="AE129" t="str">
        <x:f>IF(OR(AC129="Open",AD129="Open"),"Open",IF(AND(AC129="Match",AD129="Match",W129=T129),"Matched","Exception"))</x:f>
        <x:v>Matched</x:v>
      </x:c>
      <x:c r="AF129" s="40" t="n">
        <x:f>MAX(L129-T129,0)</x:f>
        <x:v>0</x:v>
      </x:c>
    </x:row>
    <x:row r="130">
      <x:c r="A130" t="str">
        <x:v>PR100129</x:v>
      </x:c>
      <x:c r="B130" s="36" t="n">
        <x:v>46105</x:v>
      </x:c>
      <x:c r="C130" t="str">
        <x:v>Maintenance</x:v>
      </x:c>
      <x:c r="D130" t="str">
        <x:v>PRJ-007</x:v>
      </x:c>
      <x:c r="E130" t="str">
        <x:v>MAT006</x:v>
      </x:c>
      <x:c r="F130" t="str">
        <x:v>Structural Steel Angle</x:v>
      </x:c>
      <x:c r="G130" t="str">
        <x:v>Steel</x:v>
      </x:c>
      <x:c r="H130" t="str">
        <x:v>KG</x:v>
      </x:c>
      <x:c r="I130" t="str">
        <x:v>SUP009</x:v>
      </x:c>
      <x:c r="J130" t="str">
        <x:v>Nava Bharat Hardware</x:v>
      </x:c>
      <x:c r="K130" t="str">
        <x:v>Andhra Pradesh</x:v>
      </x:c>
      <x:c r="L130" s="40" t="n">
        <x:v>750</x:v>
      </x:c>
      <x:c r="M130" t="str">
        <x:v>PO200129</x:v>
      </x:c>
      <x:c r="N130" s="36" t="n">
        <x:v>46108</x:v>
      </x:c>
      <x:c r="O130" s="38" t="n">
        <x:v>76.21</x:v>
      </x:c>
      <x:c r="P130" t="str">
        <x:v>30 Days</x:v>
      </x:c>
      <x:c r="Q130" t="str">
        <x:v>A. Reddy</x:v>
      </x:c>
      <x:c r="R130" s="36" t="n">
        <x:v>46123</x:v>
      </x:c>
      <x:c r="S130" s="36" t="n">
        <x:v>46128</x:v>
      </x:c>
      <x:c r="T130" s="40" t="n">
        <x:v>750</x:v>
      </x:c>
      <x:c r="U130" t="str">
        <x:v>INV300129</x:v>
      </x:c>
      <x:c r="V130" s="36" t="n">
        <x:v>46135</x:v>
      </x:c>
      <x:c r="W130" s="40" t="n">
        <x:v>750</x:v>
      </x:c>
      <x:c r="X130" s="38" t="n">
        <x:v>57157.5</x:v>
      </x:c>
      <x:c r="Y130" t="str">
        <x:v>Paid</x:v>
      </x:c>
      <x:c r="Z130" s="38" t="n">
        <x:f>ROUND(L130*O130,2)</x:f>
        <x:v>57157.5</x:v>
      </x:c>
      <x:c r="AA130" t="n">
        <x:f>IF(S130="","",S130-N130)</x:f>
        <x:v>20</x:v>
      </x:c>
      <x:c r="AB130" t="str">
        <x:f>IF(S130="","Open",IF(S130&lt;=R130,"On Time","Late"))</x:f>
        <x:v>Late</x:v>
      </x:c>
      <x:c r="AC130" t="str">
        <x:f>IF(S130="","Open",IF(T130=L130,"Match","Mismatch"))</x:f>
        <x:v>Match</x:v>
      </x:c>
      <x:c r="AD130" t="str">
        <x:f>IF(V130="","Open",IF(ABS(X130-Z130)&lt;=1,"Match","Mismatch"))</x:f>
        <x:v>Match</x:v>
      </x:c>
      <x:c r="AE130" t="str">
        <x:f>IF(OR(AC130="Open",AD130="Open"),"Open",IF(AND(AC130="Match",AD130="Match",W130=T130),"Matched","Exception"))</x:f>
        <x:v>Matched</x:v>
      </x:c>
      <x:c r="AF130" s="40" t="n">
        <x:f>MAX(L130-T130,0)</x:f>
        <x:v>0</x:v>
      </x:c>
    </x:row>
    <x:row r="131">
      <x:c r="A131" t="str">
        <x:v>PR100130</x:v>
      </x:c>
      <x:c r="B131" s="36" t="n">
        <x:v>46074</x:v>
      </x:c>
      <x:c r="C131" t="str">
        <x:v>Operations</x:v>
      </x:c>
      <x:c r="D131" t="str">
        <x:v>PRJ-008</x:v>
      </x:c>
      <x:c r="E131" t="str">
        <x:v>MAT006</x:v>
      </x:c>
      <x:c r="F131" t="str">
        <x:v>Structural Steel Angle</x:v>
      </x:c>
      <x:c r="G131" t="str">
        <x:v>Steel</x:v>
      </x:c>
      <x:c r="H131" t="str">
        <x:v>KG</x:v>
      </x:c>
      <x:c r="I131" t="str">
        <x:v>SUP009</x:v>
      </x:c>
      <x:c r="J131" t="str">
        <x:v>Nava Bharat Hardware</x:v>
      </x:c>
      <x:c r="K131" t="str">
        <x:v>Andhra Pradesh</x:v>
      </x:c>
      <x:c r="L131" s="40" t="n">
        <x:v>300</x:v>
      </x:c>
      <x:c r="M131" t="str">
        <x:v>PO200130</x:v>
      </x:c>
      <x:c r="N131" s="36" t="n">
        <x:v>46077</x:v>
      </x:c>
      <x:c r="O131" s="38" t="n">
        <x:v>77.57</x:v>
      </x:c>
      <x:c r="P131" t="str">
        <x:v>30 Days</x:v>
      </x:c>
      <x:c r="Q131" t="str">
        <x:v>A. Reddy</x:v>
      </x:c>
      <x:c r="R131" s="36" t="n">
        <x:v>46081</x:v>
      </x:c>
      <x:c r="S131" s="36" t="n">
        <x:v>46080</x:v>
      </x:c>
      <x:c r="T131" s="40" t="n">
        <x:v>300</x:v>
      </x:c>
      <x:c r="U131" t="str">
        <x:v>INV300130</x:v>
      </x:c>
      <x:c r="V131" s="36" t="n">
        <x:v>46082</x:v>
      </x:c>
      <x:c r="W131" s="40" t="n">
        <x:v>300</x:v>
      </x:c>
      <x:c r="X131" s="38" t="n">
        <x:v>23271</x:v>
      </x:c>
      <x:c r="Y131" t="str">
        <x:v>Paid</x:v>
      </x:c>
      <x:c r="Z131" s="38" t="n">
        <x:f>ROUND(L131*O131,2)</x:f>
        <x:v>23271</x:v>
      </x:c>
      <x:c r="AA131" t="n">
        <x:f>IF(S131="","",S131-N131)</x:f>
        <x:v>3</x:v>
      </x:c>
      <x:c r="AB131" t="str">
        <x:f>IF(S131="","Open",IF(S131&lt;=R131,"On Time","Late"))</x:f>
        <x:v>On Time</x:v>
      </x:c>
      <x:c r="AC131" t="str">
        <x:f>IF(S131="","Open",IF(T131=L131,"Match","Mismatch"))</x:f>
        <x:v>Match</x:v>
      </x:c>
      <x:c r="AD131" t="str">
        <x:f>IF(V131="","Open",IF(ABS(X131-Z131)&lt;=1,"Match","Mismatch"))</x:f>
        <x:v>Match</x:v>
      </x:c>
      <x:c r="AE131" t="str">
        <x:f>IF(OR(AC131="Open",AD131="Open"),"Open",IF(AND(AC131="Match",AD131="Match",W131=T131),"Matched","Exception"))</x:f>
        <x:v>Matched</x:v>
      </x:c>
      <x:c r="AF131" s="40" t="n">
        <x:f>MAX(L131-T131,0)</x:f>
        <x:v>0</x:v>
      </x:c>
    </x:row>
    <x:row r="132">
      <x:c r="A132" t="str">
        <x:v>PR100131</x:v>
      </x:c>
      <x:c r="B132" s="36" t="n">
        <x:v>46168</x:v>
      </x:c>
      <x:c r="C132" t="str">
        <x:v>Maintenance</x:v>
      </x:c>
      <x:c r="D132" t="str">
        <x:v>PRJ-006</x:v>
      </x:c>
      <x:c r="E132" t="str">
        <x:v>MAT011</x:v>
      </x:c>
      <x:c r="F132" t="str">
        <x:v>Red Clay Brick</x:v>
      </x:c>
      <x:c r="G132" t="str">
        <x:v>Masonry</x:v>
      </x:c>
      <x:c r="H132" t="str">
        <x:v>EA</x:v>
      </x:c>
      <x:c r="I132" t="str">
        <x:v>SUP012</x:v>
      </x:c>
      <x:c r="J132" t="str">
        <x:v>GreenField Construction Supply</x:v>
      </x:c>
      <x:c r="K132" t="str">
        <x:v>Telangana</x:v>
      </x:c>
      <x:c r="L132" s="40" t="n">
        <x:v>20</x:v>
      </x:c>
      <x:c r="M132" t="str">
        <x:v>PO200131</x:v>
      </x:c>
      <x:c r="N132" s="36" t="n">
        <x:v>46172</x:v>
      </x:c>
      <x:c r="O132" s="38" t="n">
        <x:v>10.84</x:v>
      </x:c>
      <x:c r="P132" t="str">
        <x:v>60 Days</x:v>
      </x:c>
      <x:c r="Q132" t="str">
        <x:v>R. Sharma</x:v>
      </x:c>
      <x:c r="R132" s="36" t="n">
        <x:v>46183</x:v>
      </x:c>
      <x:c r="S132" s="36" t="n">
        <x:v>46180</x:v>
      </x:c>
      <x:c r="T132" s="40" t="n">
        <x:v>20</x:v>
      </x:c>
      <x:c r="U132" t="str">
        <x:v>INV300131</x:v>
      </x:c>
      <x:c r="V132" s="36" t="n">
        <x:v>46182</x:v>
      </x:c>
      <x:c r="W132" s="40" t="n">
        <x:v>20</x:v>
      </x:c>
      <x:c r="X132" s="38" t="n">
        <x:v>216.8</x:v>
      </x:c>
      <x:c r="Y132" t="str">
        <x:v>Paid</x:v>
      </x:c>
      <x:c r="Z132" s="38" t="n">
        <x:f>ROUND(L132*O132,2)</x:f>
        <x:v>216.8</x:v>
      </x:c>
      <x:c r="AA132" t="n">
        <x:f>IF(S132="","",S132-N132)</x:f>
        <x:v>8</x:v>
      </x:c>
      <x:c r="AB132" t="str">
        <x:f>IF(S132="","Open",IF(S132&lt;=R132,"On Time","Late"))</x:f>
        <x:v>On Time</x:v>
      </x:c>
      <x:c r="AC132" t="str">
        <x:f>IF(S132="","Open",IF(T132=L132,"Match","Mismatch"))</x:f>
        <x:v>Match</x:v>
      </x:c>
      <x:c r="AD132" t="str">
        <x:f>IF(V132="","Open",IF(ABS(X132-Z132)&lt;=1,"Match","Mismatch"))</x:f>
        <x:v>Match</x:v>
      </x:c>
      <x:c r="AE132" t="str">
        <x:f>IF(OR(AC132="Open",AD132="Open"),"Open",IF(AND(AC132="Match",AD132="Match",W132=T132),"Matched","Exception"))</x:f>
        <x:v>Matched</x:v>
      </x:c>
      <x:c r="AF132" s="40" t="n">
        <x:f>MAX(L132-T132,0)</x:f>
        <x:v>0</x:v>
      </x:c>
    </x:row>
    <x:row r="133">
      <x:c r="A133" t="str">
        <x:v>PR100132</x:v>
      </x:c>
      <x:c r="B133" s="36" t="n">
        <x:v>46198</x:v>
      </x:c>
      <x:c r="C133" t="str">
        <x:v>Maintenance</x:v>
      </x:c>
      <x:c r="D133" t="str">
        <x:v>PRJ-004</x:v>
      </x:c>
      <x:c r="E133" t="str">
        <x:v>MAT022</x:v>
      </x:c>
      <x:c r="F133" t="str">
        <x:v>Hammer Drill</x:v>
      </x:c>
      <x:c r="G133" t="str">
        <x:v>Tools</x:v>
      </x:c>
      <x:c r="H133" t="str">
        <x:v>EA</x:v>
      </x:c>
      <x:c r="I133" t="str">
        <x:v>SUP009</x:v>
      </x:c>
      <x:c r="J133" t="str">
        <x:v>Nava Bharat Hardware</x:v>
      </x:c>
      <x:c r="K133" t="str">
        <x:v>Andhra Pradesh</x:v>
      </x:c>
      <x:c r="L133" s="40" t="n">
        <x:v>40</x:v>
      </x:c>
      <x:c r="M133" t="str">
        <x:v>PO200132</x:v>
      </x:c>
      <x:c r="N133" s="36" t="n">
        <x:v>46203</x:v>
      </x:c>
      <x:c r="O133" s="38" t="n">
        <x:v>6648.49</x:v>
      </x:c>
      <x:c r="P133" t="str">
        <x:v>45 Days</x:v>
      </x:c>
      <x:c r="Q133" t="str">
        <x:v>R. Sharma</x:v>
      </x:c>
      <x:c r="R133" s="36" t="n">
        <x:v>46209</x:v>
      </x:c>
      <x:c r="S133" s="36" t="n">
        <x:v>46207</x:v>
      </x:c>
      <x:c r="T133" s="40" t="n">
        <x:v>40</x:v>
      </x:c>
      <x:c r="U133" t="str">
        <x:v>INV300132</x:v>
      </x:c>
      <x:c r="V133" s="36" t="n">
        <x:v>46211</x:v>
      </x:c>
      <x:c r="W133" s="40" t="n">
        <x:v>40</x:v>
      </x:c>
      <x:c r="X133" s="38" t="n">
        <x:v>265939.6</x:v>
      </x:c>
      <x:c r="Y133" t="str">
        <x:v>Paid</x:v>
      </x:c>
      <x:c r="Z133" s="38" t="n">
        <x:f>ROUND(L133*O133,2)</x:f>
        <x:v>265939.6</x:v>
      </x:c>
      <x:c r="AA133" t="n">
        <x:f>IF(S133="","",S133-N133)</x:f>
        <x:v>4</x:v>
      </x:c>
      <x:c r="AB133" t="str">
        <x:f>IF(S133="","Open",IF(S133&lt;=R133,"On Time","Late"))</x:f>
        <x:v>On Time</x:v>
      </x:c>
      <x:c r="AC133" t="str">
        <x:f>IF(S133="","Open",IF(T133=L133,"Match","Mismatch"))</x:f>
        <x:v>Match</x:v>
      </x:c>
      <x:c r="AD133" t="str">
        <x:f>IF(V133="","Open",IF(ABS(X133-Z133)&lt;=1,"Match","Mismatch"))</x:f>
        <x:v>Match</x:v>
      </x:c>
      <x:c r="AE133" t="str">
        <x:f>IF(OR(AC133="Open",AD133="Open"),"Open",IF(AND(AC133="Match",AD133="Match",W133=T133),"Matched","Exception"))</x:f>
        <x:v>Matched</x:v>
      </x:c>
      <x:c r="AF133" s="40" t="n">
        <x:f>MAX(L133-T133,0)</x:f>
        <x:v>0</x:v>
      </x:c>
    </x:row>
    <x:row r="134">
      <x:c r="A134" t="str">
        <x:v>PR100133</x:v>
      </x:c>
      <x:c r="B134" s="36" t="n">
        <x:v>46213</x:v>
      </x:c>
      <x:c r="C134" t="str">
        <x:v>Civil Projects</x:v>
      </x:c>
      <x:c r="D134" t="str">
        <x:v>PRJ-007</x:v>
      </x:c>
      <x:c r="E134" t="str">
        <x:v>MAT018</x:v>
      </x:c>
      <x:c r="F134" t="str">
        <x:v>Safety Helmet</x:v>
      </x:c>
      <x:c r="G134" t="str">
        <x:v>Safety</x:v>
      </x:c>
      <x:c r="H134" t="str">
        <x:v>EA</x:v>
      </x:c>
      <x:c r="I134" t="str">
        <x:v>SUP007</x:v>
      </x:c>
      <x:c r="J134" t="str">
        <x:v>Precision Tools India</x:v>
      </x:c>
      <x:c r="K134" t="str">
        <x:v>Telangana</x:v>
      </x:c>
      <x:c r="L134" s="40" t="n">
        <x:v>200</x:v>
      </x:c>
      <x:c r="M134" t="str">
        <x:v>PO200133</x:v>
      </x:c>
      <x:c r="N134" s="36" t="n">
        <x:v>46216</x:v>
      </x:c>
      <x:c r="O134" s="38" t="n">
        <x:v>428.81</x:v>
      </x:c>
      <x:c r="P134" t="str">
        <x:v>60 Days</x:v>
      </x:c>
      <x:c r="Q134" t="str">
        <x:v>R. Sharma</x:v>
      </x:c>
      <x:c r="R134" s="36" t="n">
        <x:v>46223</x:v>
      </x:c>
      <x:c r="S134" s="36" t="n">
        <x:v>46223</x:v>
      </x:c>
      <x:c r="T134" s="40" t="n">
        <x:v>200</x:v>
      </x:c>
      <x:c r="U134" t="str">
        <x:v>INV300133</x:v>
      </x:c>
      <x:c r="V134" s="36" t="n">
        <x:v>46227</x:v>
      </x:c>
      <x:c r="W134" s="40" t="n">
        <x:v>200</x:v>
      </x:c>
      <x:c r="X134" s="38" t="n">
        <x:v>85762</x:v>
      </x:c>
      <x:c r="Y134" t="str">
        <x:v>Pending Approval</x:v>
      </x:c>
      <x:c r="Z134" s="38" t="n">
        <x:f>ROUND(L134*O134,2)</x:f>
        <x:v>85762</x:v>
      </x:c>
      <x:c r="AA134" t="n">
        <x:f>IF(S134="","",S134-N134)</x:f>
        <x:v>7</x:v>
      </x:c>
      <x:c r="AB134" t="str">
        <x:f>IF(S134="","Open",IF(S134&lt;=R134,"On Time","Late"))</x:f>
        <x:v>On Time</x:v>
      </x:c>
      <x:c r="AC134" t="str">
        <x:f>IF(S134="","Open",IF(T134=L134,"Match","Mismatch"))</x:f>
        <x:v>Match</x:v>
      </x:c>
      <x:c r="AD134" t="str">
        <x:f>IF(V134="","Open",IF(ABS(X134-Z134)&lt;=1,"Match","Mismatch"))</x:f>
        <x:v>Match</x:v>
      </x:c>
      <x:c r="AE134" t="str">
        <x:f>IF(OR(AC134="Open",AD134="Open"),"Open",IF(AND(AC134="Match",AD134="Match",W134=T134),"Matched","Exception"))</x:f>
        <x:v>Matched</x:v>
      </x:c>
      <x:c r="AF134" s="40" t="n">
        <x:f>MAX(L134-T134,0)</x:f>
        <x:v>0</x:v>
      </x:c>
    </x:row>
    <x:row r="135">
      <x:c r="A135" t="str">
        <x:v>PR100134</x:v>
      </x:c>
      <x:c r="B135" s="36" t="n">
        <x:v>46150</x:v>
      </x:c>
      <x:c r="C135" t="str">
        <x:v>Maintenance</x:v>
      </x:c>
      <x:c r="D135" t="str">
        <x:v>PRJ-007</x:v>
      </x:c>
      <x:c r="E135" t="str">
        <x:v>MAT009</x:v>
      </x:c>
      <x:c r="F135" t="str">
        <x:v>40mm Aggregate</x:v>
      </x:c>
      <x:c r="G135" t="str">
        <x:v>Aggregates</x:v>
      </x:c>
      <x:c r="H135" t="str">
        <x:v>TON</x:v>
      </x:c>
      <x:c r="I135" t="str">
        <x:v>SUP012</x:v>
      </x:c>
      <x:c r="J135" t="str">
        <x:v>GreenField Construction Supply</x:v>
      </x:c>
      <x:c r="K135" t="str">
        <x:v>Telangana</x:v>
      </x:c>
      <x:c r="L135" s="40" t="n">
        <x:v>25</x:v>
      </x:c>
      <x:c r="M135" t="str">
        <x:v>PO200134</x:v>
      </x:c>
      <x:c r="N135" s="36" t="n">
        <x:v>46152</x:v>
      </x:c>
      <x:c r="O135" s="38" t="n">
        <x:v>1253.2</x:v>
      </x:c>
      <x:c r="P135" t="str">
        <x:v>60 Days</x:v>
      </x:c>
      <x:c r="Q135" t="str">
        <x:v>R. Sharma</x:v>
      </x:c>
      <x:c r="R135" s="36" t="n">
        <x:v>46167</x:v>
      </x:c>
      <x:c r="S135" s="36"/>
      <x:c r="T135" s="40" t="n">
        <x:v>0</x:v>
      </x:c>
      <x:c r="U135" t="str"/>
      <x:c r="V135" s="36"/>
      <x:c r="W135" s="40" t="n">
        <x:v>0</x:v>
      </x:c>
      <x:c r="X135" s="38" t="str"/>
      <x:c r="Y135" t="str">
        <x:v>Open PO</x:v>
      </x:c>
      <x:c r="Z135" s="38" t="n">
        <x:f>ROUND(L135*O135,2)</x:f>
        <x:v>31330</x:v>
      </x:c>
      <x:c r="AA135" t="str">
        <x:f>IF(S135="","",S135-N135)</x:f>
      </x:c>
      <x:c r="AB135" t="str">
        <x:f>IF(S135="","Open",IF(S135&lt;=R135,"On Time","Late"))</x:f>
        <x:v>Open</x:v>
      </x:c>
      <x:c r="AC135" t="str">
        <x:f>IF(S135="","Open",IF(T135=L135,"Match","Mismatch"))</x:f>
        <x:v>Open</x:v>
      </x:c>
      <x:c r="AD135" t="str">
        <x:f>IF(V135="","Open",IF(ABS(X135-Z135)&lt;=1,"Match","Mismatch"))</x:f>
        <x:v>Open</x:v>
      </x:c>
      <x:c r="AE135" t="str">
        <x:f>IF(OR(AC135="Open",AD135="Open"),"Open",IF(AND(AC135="Match",AD135="Match",W135=T135),"Matched","Exception"))</x:f>
        <x:v>Open</x:v>
      </x:c>
      <x:c r="AF135" s="40" t="n">
        <x:f>MAX(L135-T135,0)</x:f>
        <x:v>25</x:v>
      </x:c>
    </x:row>
    <x:row r="136">
      <x:c r="A136" t="str">
        <x:v>PR100135</x:v>
      </x:c>
      <x:c r="B136" s="36" t="n">
        <x:v>46211</x:v>
      </x:c>
      <x:c r="C136" t="str">
        <x:v>Maintenance</x:v>
      </x:c>
      <x:c r="D136" t="str">
        <x:v>PRJ-002</x:v>
      </x:c>
      <x:c r="E136" t="str">
        <x:v>MAT035</x:v>
      </x:c>
      <x:c r="F136" t="str">
        <x:v>Welding Electrode</x:v>
      </x:c>
      <x:c r="G136" t="str">
        <x:v>Consumables</x:v>
      </x:c>
      <x:c r="H136" t="str">
        <x:v>KG</x:v>
      </x:c>
      <x:c r="I136" t="str">
        <x:v>SUP007</x:v>
      </x:c>
      <x:c r="J136" t="str">
        <x:v>Precision Tools India</x:v>
      </x:c>
      <x:c r="K136" t="str">
        <x:v>Telangana</x:v>
      </x:c>
      <x:c r="L136" s="40" t="n">
        <x:v>250</x:v>
      </x:c>
      <x:c r="M136" t="str">
        <x:v>PO200135</x:v>
      </x:c>
      <x:c r="N136" s="36" t="n">
        <x:v>46212</x:v>
      </x:c>
      <x:c r="O136" s="38" t="n">
        <x:v>301.13</x:v>
      </x:c>
      <x:c r="P136" t="str">
        <x:v>30 Days</x:v>
      </x:c>
      <x:c r="Q136" t="str">
        <x:v>A. Reddy</x:v>
      </x:c>
      <x:c r="R136" s="36" t="n">
        <x:v>46228</x:v>
      </x:c>
      <x:c r="S136" s="36" t="n">
        <x:v>46228</x:v>
      </x:c>
      <x:c r="T136" s="40" t="n">
        <x:v>250</x:v>
      </x:c>
      <x:c r="U136" t="str">
        <x:v>INV300135</x:v>
      </x:c>
      <x:c r="V136" s="36" t="n">
        <x:v>46234</x:v>
      </x:c>
      <x:c r="W136" s="40" t="n">
        <x:v>250</x:v>
      </x:c>
      <x:c r="X136" s="38" t="n">
        <x:v>75282.5</x:v>
      </x:c>
      <x:c r="Y136" t="str">
        <x:v>Paid</x:v>
      </x:c>
      <x:c r="Z136" s="38" t="n">
        <x:f>ROUND(L136*O136,2)</x:f>
        <x:v>75282.5</x:v>
      </x:c>
      <x:c r="AA136" t="n">
        <x:f>IF(S136="","",S136-N136)</x:f>
        <x:v>16</x:v>
      </x:c>
      <x:c r="AB136" t="str">
        <x:f>IF(S136="","Open",IF(S136&lt;=R136,"On Time","Late"))</x:f>
        <x:v>On Time</x:v>
      </x:c>
      <x:c r="AC136" t="str">
        <x:f>IF(S136="","Open",IF(T136=L136,"Match","Mismatch"))</x:f>
        <x:v>Match</x:v>
      </x:c>
      <x:c r="AD136" t="str">
        <x:f>IF(V136="","Open",IF(ABS(X136-Z136)&lt;=1,"Match","Mismatch"))</x:f>
        <x:v>Match</x:v>
      </x:c>
      <x:c r="AE136" t="str">
        <x:f>IF(OR(AC136="Open",AD136="Open"),"Open",IF(AND(AC136="Match",AD136="Match",W136=T136),"Matched","Exception"))</x:f>
        <x:v>Matched</x:v>
      </x:c>
      <x:c r="AF136" s="40" t="n">
        <x:f>MAX(L136-T136,0)</x:f>
        <x:v>0</x:v>
      </x:c>
    </x:row>
    <x:row r="137">
      <x:c r="A137" t="str">
        <x:v>PR100136</x:v>
      </x:c>
      <x:c r="B137" s="36" t="n">
        <x:v>46288</x:v>
      </x:c>
      <x:c r="C137" t="str">
        <x:v>Civil Projects</x:v>
      </x:c>
      <x:c r="D137" t="str">
        <x:v>PRJ-002</x:v>
      </x:c>
      <x:c r="E137" t="str">
        <x:v>MAT017</x:v>
      </x:c>
      <x:c r="F137" t="str">
        <x:v>LED Flood Light 100W</x:v>
      </x:c>
      <x:c r="G137" t="str">
        <x:v>Electrical</x:v>
      </x:c>
      <x:c r="H137" t="str">
        <x:v>EA</x:v>
      </x:c>
      <x:c r="I137" t="str">
        <x:v>SUP004</x:v>
      </x:c>
      <x:c r="J137" t="str">
        <x:v>Southline Electricals</x:v>
      </x:c>
      <x:c r="K137" t="str">
        <x:v>Telangana</x:v>
      </x:c>
      <x:c r="L137" s="40" t="n">
        <x:v>75</x:v>
      </x:c>
      <x:c r="M137" t="str">
        <x:v>PO200136</x:v>
      </x:c>
      <x:c r="N137" s="36" t="n">
        <x:v>46290</x:v>
      </x:c>
      <x:c r="O137" s="38" t="n">
        <x:v>2859.55</x:v>
      </x:c>
      <x:c r="P137" t="str">
        <x:v>60 Days</x:v>
      </x:c>
      <x:c r="Q137" t="str">
        <x:v>S. Kumar</x:v>
      </x:c>
      <x:c r="R137" s="36" t="n">
        <x:v>46299</x:v>
      </x:c>
      <x:c r="S137" s="36" t="n">
        <x:v>46298</x:v>
      </x:c>
      <x:c r="T137" s="40" t="n">
        <x:v>75</x:v>
      </x:c>
      <x:c r="U137" t="str">
        <x:v>INV300136</x:v>
      </x:c>
      <x:c r="V137" s="36" t="n">
        <x:v>46299</x:v>
      </x:c>
      <x:c r="W137" s="40" t="n">
        <x:v>75</x:v>
      </x:c>
      <x:c r="X137" s="38" t="n">
        <x:v>214466.25</x:v>
      </x:c>
      <x:c r="Y137" t="str">
        <x:v>Blocked for Review</x:v>
      </x:c>
      <x:c r="Z137" s="38" t="n">
        <x:f>ROUND(L137*O137,2)</x:f>
        <x:v>214466.25</x:v>
      </x:c>
      <x:c r="AA137" t="n">
        <x:f>IF(S137="","",S137-N137)</x:f>
        <x:v>8</x:v>
      </x:c>
      <x:c r="AB137" t="str">
        <x:f>IF(S137="","Open",IF(S137&lt;=R137,"On Time","Late"))</x:f>
        <x:v>On Time</x:v>
      </x:c>
      <x:c r="AC137" t="str">
        <x:f>IF(S137="","Open",IF(T137=L137,"Match","Mismatch"))</x:f>
        <x:v>Match</x:v>
      </x:c>
      <x:c r="AD137" t="str">
        <x:f>IF(V137="","Open",IF(ABS(X137-Z137)&lt;=1,"Match","Mismatch"))</x:f>
        <x:v>Match</x:v>
      </x:c>
      <x:c r="AE137" t="str">
        <x:f>IF(OR(AC137="Open",AD137="Open"),"Open",IF(AND(AC137="Match",AD137="Match",W137=T137),"Matched","Exception"))</x:f>
        <x:v>Matched</x:v>
      </x:c>
      <x:c r="AF137" s="40" t="n">
        <x:f>MAX(L137-T137,0)</x:f>
        <x:v>0</x:v>
      </x:c>
    </x:row>
    <x:row r="138">
      <x:c r="A138" t="str">
        <x:v>PR100137</x:v>
      </x:c>
      <x:c r="B138" s="36" t="n">
        <x:v>46202</x:v>
      </x:c>
      <x:c r="C138" t="str">
        <x:v>Civil Projects</x:v>
      </x:c>
      <x:c r="D138" t="str">
        <x:v>PRJ-003</x:v>
      </x:c>
      <x:c r="E138" t="str">
        <x:v>MAT023</x:v>
      </x:c>
      <x:c r="F138" t="str">
        <x:v>Measuring Tape 5m</x:v>
      </x:c>
      <x:c r="G138" t="str">
        <x:v>Tools</x:v>
      </x:c>
      <x:c r="H138" t="str">
        <x:v>EA</x:v>
      </x:c>
      <x:c r="I138" t="str">
        <x:v>SUP009</x:v>
      </x:c>
      <x:c r="J138" t="str">
        <x:v>Nava Bharat Hardware</x:v>
      </x:c>
      <x:c r="K138" t="str">
        <x:v>Andhra Pradesh</x:v>
      </x:c>
      <x:c r="L138" s="40" t="n">
        <x:v>100</x:v>
      </x:c>
      <x:c r="M138" t="str">
        <x:v>PO200137</x:v>
      </x:c>
      <x:c r="N138" s="36" t="n">
        <x:v>46206</x:v>
      </x:c>
      <x:c r="O138" s="38" t="n">
        <x:v>314.46</x:v>
      </x:c>
      <x:c r="P138" t="str">
        <x:v>60 Days</x:v>
      </x:c>
      <x:c r="Q138" t="str">
        <x:v>S. Kumar</x:v>
      </x:c>
      <x:c r="R138" s="36" t="n">
        <x:v>46218</x:v>
      </x:c>
      <x:c r="S138" s="36" t="n">
        <x:v>46215</x:v>
      </x:c>
      <x:c r="T138" s="40" t="n">
        <x:v>100</x:v>
      </x:c>
      <x:c r="U138" t="str">
        <x:v>INV300137</x:v>
      </x:c>
      <x:c r="V138" s="36" t="n">
        <x:v>46218</x:v>
      </x:c>
      <x:c r="W138" s="40" t="n">
        <x:v>95</x:v>
      </x:c>
      <x:c r="X138" s="38" t="n">
        <x:v>31446</x:v>
      </x:c>
      <x:c r="Y138" t="str">
        <x:v>Pending Approval</x:v>
      </x:c>
      <x:c r="Z138" s="38" t="n">
        <x:f>ROUND(L138*O138,2)</x:f>
        <x:v>31446</x:v>
      </x:c>
      <x:c r="AA138" t="n">
        <x:f>IF(S138="","",S138-N138)</x:f>
        <x:v>9</x:v>
      </x:c>
      <x:c r="AB138" t="str">
        <x:f>IF(S138="","Open",IF(S138&lt;=R138,"On Time","Late"))</x:f>
        <x:v>On Time</x:v>
      </x:c>
      <x:c r="AC138" t="str">
        <x:f>IF(S138="","Open",IF(T138=L138,"Match","Mismatch"))</x:f>
        <x:v>Match</x:v>
      </x:c>
      <x:c r="AD138" t="str">
        <x:f>IF(V138="","Open",IF(ABS(X138-Z138)&lt;=1,"Match","Mismatch"))</x:f>
        <x:v>Match</x:v>
      </x:c>
      <x:c r="AE138" t="str">
        <x:f>IF(OR(AC138="Open",AD138="Open"),"Open",IF(AND(AC138="Match",AD138="Match",W138=T138),"Matched","Exception"))</x:f>
        <x:v>Exception</x:v>
      </x:c>
      <x:c r="AF138" s="40" t="n">
        <x:f>MAX(L138-T138,0)</x:f>
        <x:v>0</x:v>
      </x:c>
    </x:row>
    <x:row r="139">
      <x:c r="A139" t="str">
        <x:v>PR100138</x:v>
      </x:c>
      <x:c r="B139" s="36" t="n">
        <x:v>46108</x:v>
      </x:c>
      <x:c r="C139" t="str">
        <x:v>Maintenance</x:v>
      </x:c>
      <x:c r="D139" t="str">
        <x:v>PRJ-001</x:v>
      </x:c>
      <x:c r="E139" t="str">
        <x:v>MAT034</x:v>
      </x:c>
      <x:c r="F139" t="str">
        <x:v>Industrial Adhesive</x:v>
      </x:c>
      <x:c r="G139" t="str">
        <x:v>Consumables</x:v>
      </x:c>
      <x:c r="H139" t="str">
        <x:v>KG</x:v>
      </x:c>
      <x:c r="I139" t="str">
        <x:v>SUP007</x:v>
      </x:c>
      <x:c r="J139" t="str">
        <x:v>Precision Tools India</x:v>
      </x:c>
      <x:c r="K139" t="str">
        <x:v>Telangana</x:v>
      </x:c>
      <x:c r="L139" s="40" t="n">
        <x:v>1000</x:v>
      </x:c>
      <x:c r="M139" t="str">
        <x:v>PO200138</x:v>
      </x:c>
      <x:c r="N139" s="36" t="n">
        <x:v>46112</x:v>
      </x:c>
      <x:c r="O139" s="38" t="n">
        <x:v>403.93</x:v>
      </x:c>
      <x:c r="P139" t="str">
        <x:v>60 Days</x:v>
      </x:c>
      <x:c r="Q139" t="str">
        <x:v>S. Kumar</x:v>
      </x:c>
      <x:c r="R139" s="36" t="n">
        <x:v>46122</x:v>
      </x:c>
      <x:c r="S139" s="36" t="n">
        <x:v>46119</x:v>
      </x:c>
      <x:c r="T139" s="40" t="n">
        <x:v>1000</x:v>
      </x:c>
      <x:c r="U139" t="str">
        <x:v>INV300138</x:v>
      </x:c>
      <x:c r="V139" s="36" t="n">
        <x:v>46125</x:v>
      </x:c>
      <x:c r="W139" s="40" t="n">
        <x:v>1000</x:v>
      </x:c>
      <x:c r="X139" s="38" t="n">
        <x:v>403930</x:v>
      </x:c>
      <x:c r="Y139" t="str">
        <x:v>Paid</x:v>
      </x:c>
      <x:c r="Z139" s="38" t="n">
        <x:f>ROUND(L139*O139,2)</x:f>
        <x:v>403930</x:v>
      </x:c>
      <x:c r="AA139" t="n">
        <x:f>IF(S139="","",S139-N139)</x:f>
        <x:v>7</x:v>
      </x:c>
      <x:c r="AB139" t="str">
        <x:f>IF(S139="","Open",IF(S139&lt;=R139,"On Time","Late"))</x:f>
        <x:v>On Time</x:v>
      </x:c>
      <x:c r="AC139" t="str">
        <x:f>IF(S139="","Open",IF(T139=L139,"Match","Mismatch"))</x:f>
        <x:v>Match</x:v>
      </x:c>
      <x:c r="AD139" t="str">
        <x:f>IF(V139="","Open",IF(ABS(X139-Z139)&lt;=1,"Match","Mismatch"))</x:f>
        <x:v>Match</x:v>
      </x:c>
      <x:c r="AE139" t="str">
        <x:f>IF(OR(AC139="Open",AD139="Open"),"Open",IF(AND(AC139="Match",AD139="Match",W139=T139),"Matched","Exception"))</x:f>
        <x:v>Matched</x:v>
      </x:c>
      <x:c r="AF139" s="40" t="n">
        <x:f>MAX(L139-T139,0)</x:f>
        <x:v>0</x:v>
      </x:c>
    </x:row>
    <x:row r="140">
      <x:c r="A140" t="str">
        <x:v>PR100139</x:v>
      </x:c>
      <x:c r="B140" s="36" t="n">
        <x:v>46059</x:v>
      </x:c>
      <x:c r="C140" t="str">
        <x:v>Civil Projects</x:v>
      </x:c>
      <x:c r="D140" t="str">
        <x:v>PRJ-006</x:v>
      </x:c>
      <x:c r="E140" t="str">
        <x:v>MAT014</x:v>
      </x:c>
      <x:c r="F140" t="str">
        <x:v>GI Pipe 50mm</x:v>
      </x:c>
      <x:c r="G140" t="str">
        <x:v>Plumbing</x:v>
      </x:c>
      <x:c r="H140" t="str">
        <x:v>M</x:v>
      </x:c>
      <x:c r="I140" t="str">
        <x:v>SUP009</x:v>
      </x:c>
      <x:c r="J140" t="str">
        <x:v>Nava Bharat Hardware</x:v>
      </x:c>
      <x:c r="K140" t="str">
        <x:v>Andhra Pradesh</x:v>
      </x:c>
      <x:c r="L140" s="40" t="n">
        <x:v>500</x:v>
      </x:c>
      <x:c r="M140" t="str">
        <x:v>PO200139</x:v>
      </x:c>
      <x:c r="N140" s="36" t="n">
        <x:v>46062</x:v>
      </x:c>
      <x:c r="O140" s="38" t="n">
        <x:v>528.49</x:v>
      </x:c>
      <x:c r="P140" t="str">
        <x:v>45 Days</x:v>
      </x:c>
      <x:c r="Q140" t="str">
        <x:v>R. Sharma</x:v>
      </x:c>
      <x:c r="R140" s="36" t="n">
        <x:v>46068</x:v>
      </x:c>
      <x:c r="S140" s="36" t="n">
        <x:v>46065</x:v>
      </x:c>
      <x:c r="T140" s="40" t="n">
        <x:v>500</x:v>
      </x:c>
      <x:c r="U140" t="str">
        <x:v>INV300139</x:v>
      </x:c>
      <x:c r="V140" s="36" t="n">
        <x:v>46071</x:v>
      </x:c>
      <x:c r="W140" s="40" t="n">
        <x:v>500</x:v>
      </x:c>
      <x:c r="X140" s="38" t="n">
        <x:v>264245</x:v>
      </x:c>
      <x:c r="Y140" t="str">
        <x:v>Paid</x:v>
      </x:c>
      <x:c r="Z140" s="38" t="n">
        <x:f>ROUND(L140*O140,2)</x:f>
        <x:v>264245</x:v>
      </x:c>
      <x:c r="AA140" t="n">
        <x:f>IF(S140="","",S140-N140)</x:f>
        <x:v>3</x:v>
      </x:c>
      <x:c r="AB140" t="str">
        <x:f>IF(S140="","Open",IF(S140&lt;=R140,"On Time","Late"))</x:f>
        <x:v>On Time</x:v>
      </x:c>
      <x:c r="AC140" t="str">
        <x:f>IF(S140="","Open",IF(T140=L140,"Match","Mismatch"))</x:f>
        <x:v>Match</x:v>
      </x:c>
      <x:c r="AD140" t="str">
        <x:f>IF(V140="","Open",IF(ABS(X140-Z140)&lt;=1,"Match","Mismatch"))</x:f>
        <x:v>Match</x:v>
      </x:c>
      <x:c r="AE140" t="str">
        <x:f>IF(OR(AC140="Open",AD140="Open"),"Open",IF(AND(AC140="Match",AD140="Match",W140=T140),"Matched","Exception"))</x:f>
        <x:v>Matched</x:v>
      </x:c>
      <x:c r="AF140" s="40" t="n">
        <x:f>MAX(L140-T140,0)</x:f>
        <x:v>0</x:v>
      </x:c>
    </x:row>
    <x:row r="141">
      <x:c r="A141" t="str">
        <x:v>PR100140</x:v>
      </x:c>
      <x:c r="B141" s="36" t="n">
        <x:v>46179</x:v>
      </x:c>
      <x:c r="C141" t="str">
        <x:v>Maintenance</x:v>
      </x:c>
      <x:c r="D141" t="str">
        <x:v>PRJ-003</x:v>
      </x:c>
      <x:c r="E141" t="str">
        <x:v>MAT040</x:v>
      </x:c>
      <x:c r="F141" t="str">
        <x:v>SS Fastener Set</x:v>
      </x:c>
      <x:c r="G141" t="str">
        <x:v>Hardware</x:v>
      </x:c>
      <x:c r="H141" t="str">
        <x:v>SET</x:v>
      </x:c>
      <x:c r="I141" t="str">
        <x:v>SUP009</x:v>
      </x:c>
      <x:c r="J141" t="str">
        <x:v>Nava Bharat Hardware</x:v>
      </x:c>
      <x:c r="K141" t="str">
        <x:v>Andhra Pradesh</x:v>
      </x:c>
      <x:c r="L141" s="40" t="n">
        <x:v>20</x:v>
      </x:c>
      <x:c r="M141" t="str">
        <x:v>PO200140</x:v>
      </x:c>
      <x:c r="N141" s="36" t="n">
        <x:v>46180</x:v>
      </x:c>
      <x:c r="O141" s="38" t="n">
        <x:v>120.37</x:v>
      </x:c>
      <x:c r="P141" t="str">
        <x:v>60 Days</x:v>
      </x:c>
      <x:c r="Q141" t="str">
        <x:v>S. Kumar</x:v>
      </x:c>
      <x:c r="R141" s="36" t="n">
        <x:v>46189</x:v>
      </x:c>
      <x:c r="S141" s="36" t="n">
        <x:v>46188</x:v>
      </x:c>
      <x:c r="T141" s="40" t="n">
        <x:v>20</x:v>
      </x:c>
      <x:c r="U141" t="str">
        <x:v>INV300140</x:v>
      </x:c>
      <x:c r="V141" s="36" t="n">
        <x:v>46192</x:v>
      </x:c>
      <x:c r="W141" s="40" t="n">
        <x:v>20</x:v>
      </x:c>
      <x:c r="X141" s="38" t="n">
        <x:v>2407.4</x:v>
      </x:c>
      <x:c r="Y141" t="str">
        <x:v>Paid</x:v>
      </x:c>
      <x:c r="Z141" s="38" t="n">
        <x:f>ROUND(L141*O141,2)</x:f>
        <x:v>2407.4</x:v>
      </x:c>
      <x:c r="AA141" t="n">
        <x:f>IF(S141="","",S141-N141)</x:f>
        <x:v>8</x:v>
      </x:c>
      <x:c r="AB141" t="str">
        <x:f>IF(S141="","Open",IF(S141&lt;=R141,"On Time","Late"))</x:f>
        <x:v>On Time</x:v>
      </x:c>
      <x:c r="AC141" t="str">
        <x:f>IF(S141="","Open",IF(T141=L141,"Match","Mismatch"))</x:f>
        <x:v>Match</x:v>
      </x:c>
      <x:c r="AD141" t="str">
        <x:f>IF(V141="","Open",IF(ABS(X141-Z141)&lt;=1,"Match","Mismatch"))</x:f>
        <x:v>Match</x:v>
      </x:c>
      <x:c r="AE141" t="str">
        <x:f>IF(OR(AC141="Open",AD141="Open"),"Open",IF(AND(AC141="Match",AD141="Match",W141=T141),"Matched","Exception"))</x:f>
        <x:v>Matched</x:v>
      </x:c>
      <x:c r="AF141" s="40" t="n">
        <x:f>MAX(L141-T141,0)</x:f>
        <x:v>0</x:v>
      </x:c>
    </x:row>
    <x:row r="142">
      <x:c r="A142" t="str">
        <x:v>PR100141</x:v>
      </x:c>
      <x:c r="B142" s="36" t="n">
        <x:v>46098</x:v>
      </x:c>
      <x:c r="C142" t="str">
        <x:v>Maintenance</x:v>
      </x:c>
      <x:c r="D142" t="str">
        <x:v>PRJ-008</x:v>
      </x:c>
      <x:c r="E142" t="str">
        <x:v>MAT032</x:v>
      </x:c>
      <x:c r="F142" t="str">
        <x:v>Printer Toner</x:v>
      </x:c>
      <x:c r="G142" t="str">
        <x:v>Office Supplies</x:v>
      </x:c>
      <x:c r="H142" t="str">
        <x:v>EA</x:v>
      </x:c>
      <x:c r="I142" t="str">
        <x:v>SUP008</x:v>
      </x:c>
      <x:c r="J142" t="str">
        <x:v>Prime Office Solutions</x:v>
      </x:c>
      <x:c r="K142" t="str">
        <x:v>Telangana</x:v>
      </x:c>
      <x:c r="L142" s="40" t="n">
        <x:v>100</x:v>
      </x:c>
      <x:c r="M142" t="str">
        <x:v>PO200141</x:v>
      </x:c>
      <x:c r="N142" s="36" t="n">
        <x:v>46100</x:v>
      </x:c>
      <x:c r="O142" s="38" t="n">
        <x:v>4796.45</x:v>
      </x:c>
      <x:c r="P142" t="str">
        <x:v>45 Days</x:v>
      </x:c>
      <x:c r="Q142" t="str">
        <x:v>R. Sharma</x:v>
      </x:c>
      <x:c r="R142" s="36" t="n">
        <x:v>46117</x:v>
      </x:c>
      <x:c r="S142" s="36" t="n">
        <x:v>46114</x:v>
      </x:c>
      <x:c r="T142" s="40" t="n">
        <x:v>100</x:v>
      </x:c>
      <x:c r="U142" t="str">
        <x:v>INV300141</x:v>
      </x:c>
      <x:c r="V142" s="36" t="n">
        <x:v>46121</x:v>
      </x:c>
      <x:c r="W142" s="40" t="n">
        <x:v>100</x:v>
      </x:c>
      <x:c r="X142" s="38" t="n">
        <x:v>479645</x:v>
      </x:c>
      <x:c r="Y142" t="str">
        <x:v>Paid</x:v>
      </x:c>
      <x:c r="Z142" s="38" t="n">
        <x:f>ROUND(L142*O142,2)</x:f>
        <x:v>479645</x:v>
      </x:c>
      <x:c r="AA142" t="n">
        <x:f>IF(S142="","",S142-N142)</x:f>
        <x:v>14</x:v>
      </x:c>
      <x:c r="AB142" t="str">
        <x:f>IF(S142="","Open",IF(S142&lt;=R142,"On Time","Late"))</x:f>
        <x:v>On Time</x:v>
      </x:c>
      <x:c r="AC142" t="str">
        <x:f>IF(S142="","Open",IF(T142=L142,"Match","Mismatch"))</x:f>
        <x:v>Match</x:v>
      </x:c>
      <x:c r="AD142" t="str">
        <x:f>IF(V142="","Open",IF(ABS(X142-Z142)&lt;=1,"Match","Mismatch"))</x:f>
        <x:v>Match</x:v>
      </x:c>
      <x:c r="AE142" t="str">
        <x:f>IF(OR(AC142="Open",AD142="Open"),"Open",IF(AND(AC142="Match",AD142="Match",W142=T142),"Matched","Exception"))</x:f>
        <x:v>Matched</x:v>
      </x:c>
      <x:c r="AF142" s="40" t="n">
        <x:f>MAX(L142-T142,0)</x:f>
        <x:v>0</x:v>
      </x:c>
    </x:row>
    <x:row r="143">
      <x:c r="A143" t="str">
        <x:v>PR100142</x:v>
      </x:c>
      <x:c r="B143" s="36" t="n">
        <x:v>46069</x:v>
      </x:c>
      <x:c r="C143" t="str">
        <x:v>Civil Projects</x:v>
      </x:c>
      <x:c r="D143" t="str">
        <x:v>PRJ-005</x:v>
      </x:c>
      <x:c r="E143" t="str">
        <x:v>MAT032</x:v>
      </x:c>
      <x:c r="F143" t="str">
        <x:v>Printer Toner</x:v>
      </x:c>
      <x:c r="G143" t="str">
        <x:v>Office Supplies</x:v>
      </x:c>
      <x:c r="H143" t="str">
        <x:v>EA</x:v>
      </x:c>
      <x:c r="I143" t="str">
        <x:v>SUP008</x:v>
      </x:c>
      <x:c r="J143" t="str">
        <x:v>Prime Office Solutions</x:v>
      </x:c>
      <x:c r="K143" t="str">
        <x:v>Telangana</x:v>
      </x:c>
      <x:c r="L143" s="40" t="n">
        <x:v>10</x:v>
      </x:c>
      <x:c r="M143" t="str">
        <x:v>PO200142</x:v>
      </x:c>
      <x:c r="N143" s="36" t="n">
        <x:v>46069</x:v>
      </x:c>
      <x:c r="O143" s="38" t="n">
        <x:v>4508.05</x:v>
      </x:c>
      <x:c r="P143" t="str">
        <x:v>60 Days</x:v>
      </x:c>
      <x:c r="Q143" t="str">
        <x:v>M. Priya</x:v>
      </x:c>
      <x:c r="R143" s="36" t="n">
        <x:v>46077</x:v>
      </x:c>
      <x:c r="S143" s="36" t="n">
        <x:v>46085</x:v>
      </x:c>
      <x:c r="T143" s="40" t="n">
        <x:v>10</x:v>
      </x:c>
      <x:c r="U143" t="str">
        <x:v>INV300142</x:v>
      </x:c>
      <x:c r="V143" s="36" t="n">
        <x:v>46092</x:v>
      </x:c>
      <x:c r="W143" s="40" t="n">
        <x:v>10</x:v>
      </x:c>
      <x:c r="X143" s="38" t="n">
        <x:v>45080.5</x:v>
      </x:c>
      <x:c r="Y143" t="str">
        <x:v>Paid</x:v>
      </x:c>
      <x:c r="Z143" s="38" t="n">
        <x:f>ROUND(L143*O143,2)</x:f>
        <x:v>45080.5</x:v>
      </x:c>
      <x:c r="AA143" t="n">
        <x:f>IF(S143="","",S143-N143)</x:f>
        <x:v>16</x:v>
      </x:c>
      <x:c r="AB143" t="str">
        <x:f>IF(S143="","Open",IF(S143&lt;=R143,"On Time","Late"))</x:f>
        <x:v>Late</x:v>
      </x:c>
      <x:c r="AC143" t="str">
        <x:f>IF(S143="","Open",IF(T143=L143,"Match","Mismatch"))</x:f>
        <x:v>Match</x:v>
      </x:c>
      <x:c r="AD143" t="str">
        <x:f>IF(V143="","Open",IF(ABS(X143-Z143)&lt;=1,"Match","Mismatch"))</x:f>
        <x:v>Match</x:v>
      </x:c>
      <x:c r="AE143" t="str">
        <x:f>IF(OR(AC143="Open",AD143="Open"),"Open",IF(AND(AC143="Match",AD143="Match",W143=T143),"Matched","Exception"))</x:f>
        <x:v>Matched</x:v>
      </x:c>
      <x:c r="AF143" s="40" t="n">
        <x:f>MAX(L143-T143,0)</x:f>
        <x:v>0</x:v>
      </x:c>
    </x:row>
    <x:row r="144">
      <x:c r="A144" t="str">
        <x:v>PR100143</x:v>
      </x:c>
      <x:c r="B144" s="36" t="n">
        <x:v>46252</x:v>
      </x:c>
      <x:c r="C144" t="str">
        <x:v>Facilities</x:v>
      </x:c>
      <x:c r="D144" t="str">
        <x:v>PRJ-004</x:v>
      </x:c>
      <x:c r="E144" t="str">
        <x:v>MAT035</x:v>
      </x:c>
      <x:c r="F144" t="str">
        <x:v>Welding Electrode</x:v>
      </x:c>
      <x:c r="G144" t="str">
        <x:v>Consumables</x:v>
      </x:c>
      <x:c r="H144" t="str">
        <x:v>KG</x:v>
      </x:c>
      <x:c r="I144" t="str">
        <x:v>SUP007</x:v>
      </x:c>
      <x:c r="J144" t="str">
        <x:v>Precision Tools India</x:v>
      </x:c>
      <x:c r="K144" t="str">
        <x:v>Telangana</x:v>
      </x:c>
      <x:c r="L144" s="40" t="n">
        <x:v>250</x:v>
      </x:c>
      <x:c r="M144" t="str">
        <x:v>PO200143</x:v>
      </x:c>
      <x:c r="N144" s="36" t="n">
        <x:v>46254</x:v>
      </x:c>
      <x:c r="O144" s="38" t="n">
        <x:v>282.34</x:v>
      </x:c>
      <x:c r="P144" t="str">
        <x:v>60 Days</x:v>
      </x:c>
      <x:c r="Q144" t="str">
        <x:v>M. Priya</x:v>
      </x:c>
      <x:c r="R144" s="36" t="n">
        <x:v>46259</x:v>
      </x:c>
      <x:c r="S144" s="36" t="n">
        <x:v>46257</x:v>
      </x:c>
      <x:c r="T144" s="40" t="n">
        <x:v>250</x:v>
      </x:c>
      <x:c r="U144" t="str">
        <x:v>INV300143</x:v>
      </x:c>
      <x:c r="V144" s="36" t="n">
        <x:v>46258</x:v>
      </x:c>
      <x:c r="W144" s="40" t="n">
        <x:v>250</x:v>
      </x:c>
      <x:c r="X144" s="38" t="n">
        <x:v>70585</x:v>
      </x:c>
      <x:c r="Y144" t="str">
        <x:v>Paid</x:v>
      </x:c>
      <x:c r="Z144" s="38" t="n">
        <x:f>ROUND(L144*O144,2)</x:f>
        <x:v>70585</x:v>
      </x:c>
      <x:c r="AA144" t="n">
        <x:f>IF(S144="","",S144-N144)</x:f>
        <x:v>3</x:v>
      </x:c>
      <x:c r="AB144" t="str">
        <x:f>IF(S144="","Open",IF(S144&lt;=R144,"On Time","Late"))</x:f>
        <x:v>On Time</x:v>
      </x:c>
      <x:c r="AC144" t="str">
        <x:f>IF(S144="","Open",IF(T144=L144,"Match","Mismatch"))</x:f>
        <x:v>Match</x:v>
      </x:c>
      <x:c r="AD144" t="str">
        <x:f>IF(V144="","Open",IF(ABS(X144-Z144)&lt;=1,"Match","Mismatch"))</x:f>
        <x:v>Match</x:v>
      </x:c>
      <x:c r="AE144" t="str">
        <x:f>IF(OR(AC144="Open",AD144="Open"),"Open",IF(AND(AC144="Match",AD144="Match",W144=T144),"Matched","Exception"))</x:f>
        <x:v>Matched</x:v>
      </x:c>
      <x:c r="AF144" s="40" t="n">
        <x:f>MAX(L144-T144,0)</x:f>
        <x:v>0</x:v>
      </x:c>
    </x:row>
    <x:row r="145">
      <x:c r="A145" t="str">
        <x:v>PR100144</x:v>
      </x:c>
      <x:c r="B145" s="36" t="n">
        <x:v>46111</x:v>
      </x:c>
      <x:c r="C145" t="str">
        <x:v>Civil Projects</x:v>
      </x:c>
      <x:c r="D145" t="str">
        <x:v>PRJ-003</x:v>
      </x:c>
      <x:c r="E145" t="str">
        <x:v>MAT040</x:v>
      </x:c>
      <x:c r="F145" t="str">
        <x:v>SS Fastener Set</x:v>
      </x:c>
      <x:c r="G145" t="str">
        <x:v>Hardware</x:v>
      </x:c>
      <x:c r="H145" t="str">
        <x:v>SET</x:v>
      </x:c>
      <x:c r="I145" t="str">
        <x:v>SUP011</x:v>
      </x:c>
      <x:c r="J145" t="str">
        <x:v>Vertex Industrial Supply</x:v>
      </x:c>
      <x:c r="K145" t="str">
        <x:v>Maharashtra</x:v>
      </x:c>
      <x:c r="L145" s="40" t="n">
        <x:v>30</x:v>
      </x:c>
      <x:c r="M145" t="str">
        <x:v>PO200144</x:v>
      </x:c>
      <x:c r="N145" s="36" t="n">
        <x:v>46112</x:v>
      </x:c>
      <x:c r="O145" s="38" t="n">
        <x:v>133.12</x:v>
      </x:c>
      <x:c r="P145" t="str">
        <x:v>45 Days</x:v>
      </x:c>
      <x:c r="Q145" t="str">
        <x:v>A. Reddy</x:v>
      </x:c>
      <x:c r="R145" s="36" t="n">
        <x:v>46129</x:v>
      </x:c>
      <x:c r="S145" s="36" t="n">
        <x:v>46128</x:v>
      </x:c>
      <x:c r="T145" s="40" t="n">
        <x:v>30</x:v>
      </x:c>
      <x:c r="U145" t="str">
        <x:v>INV300144</x:v>
      </x:c>
      <x:c r="V145" s="36" t="n">
        <x:v>46134</x:v>
      </x:c>
      <x:c r="W145" s="40" t="n">
        <x:v>30</x:v>
      </x:c>
      <x:c r="X145" s="38" t="n">
        <x:v>3993.6</x:v>
      </x:c>
      <x:c r="Y145" t="str">
        <x:v>Blocked for Review</x:v>
      </x:c>
      <x:c r="Z145" s="38" t="n">
        <x:f>ROUND(L145*O145,2)</x:f>
        <x:v>3993.6</x:v>
      </x:c>
      <x:c r="AA145" t="n">
        <x:f>IF(S145="","",S145-N145)</x:f>
        <x:v>16</x:v>
      </x:c>
      <x:c r="AB145" t="str">
        <x:f>IF(S145="","Open",IF(S145&lt;=R145,"On Time","Late"))</x:f>
        <x:v>On Time</x:v>
      </x:c>
      <x:c r="AC145" t="str">
        <x:f>IF(S145="","Open",IF(T145=L145,"Match","Mismatch"))</x:f>
        <x:v>Match</x:v>
      </x:c>
      <x:c r="AD145" t="str">
        <x:f>IF(V145="","Open",IF(ABS(X145-Z145)&lt;=1,"Match","Mismatch"))</x:f>
        <x:v>Match</x:v>
      </x:c>
      <x:c r="AE145" t="str">
        <x:f>IF(OR(AC145="Open",AD145="Open"),"Open",IF(AND(AC145="Match",AD145="Match",W145=T145),"Matched","Exception"))</x:f>
        <x:v>Matched</x:v>
      </x:c>
      <x:c r="AF145" s="40" t="n">
        <x:f>MAX(L145-T145,0)</x:f>
        <x:v>0</x:v>
      </x:c>
    </x:row>
    <x:row r="146">
      <x:c r="A146" t="str">
        <x:v>PR100145</x:v>
      </x:c>
      <x:c r="B146" s="36" t="n">
        <x:v>46094</x:v>
      </x:c>
      <x:c r="C146" t="str">
        <x:v>Civil Projects</x:v>
      </x:c>
      <x:c r="D146" t="str">
        <x:v>PRJ-007</x:v>
      </x:c>
      <x:c r="E146" t="str">
        <x:v>MAT018</x:v>
      </x:c>
      <x:c r="F146" t="str">
        <x:v>Safety Helmet</x:v>
      </x:c>
      <x:c r="G146" t="str">
        <x:v>Safety</x:v>
      </x:c>
      <x:c r="H146" t="str">
        <x:v>EA</x:v>
      </x:c>
      <x:c r="I146" t="str">
        <x:v>SUP006</x:v>
      </x:c>
      <x:c r="J146" t="str">
        <x:v>SafeSite Industrial</x:v>
      </x:c>
      <x:c r="K146" t="str">
        <x:v>Karnataka</x:v>
      </x:c>
      <x:c r="L146" s="40" t="n">
        <x:v>50</x:v>
      </x:c>
      <x:c r="M146" t="str">
        <x:v>PO200145</x:v>
      </x:c>
      <x:c r="N146" s="36" t="n">
        <x:v>46095</x:v>
      </x:c>
      <x:c r="O146" s="38" t="n">
        <x:v>416.96</x:v>
      </x:c>
      <x:c r="P146" t="str">
        <x:v>60 Days</x:v>
      </x:c>
      <x:c r="Q146" t="str">
        <x:v>M. Priya</x:v>
      </x:c>
      <x:c r="R146" s="36" t="n">
        <x:v>46110</x:v>
      </x:c>
      <x:c r="S146" s="36" t="n">
        <x:v>46107</x:v>
      </x:c>
      <x:c r="T146" s="40" t="n">
        <x:v>50</x:v>
      </x:c>
      <x:c r="U146" t="str">
        <x:v>INV300145</x:v>
      </x:c>
      <x:c r="V146" s="36" t="n">
        <x:v>46113</x:v>
      </x:c>
      <x:c r="W146" s="40" t="n">
        <x:v>50</x:v>
      </x:c>
      <x:c r="X146" s="38" t="n">
        <x:v>20848</x:v>
      </x:c>
      <x:c r="Y146" t="str">
        <x:v>Paid</x:v>
      </x:c>
      <x:c r="Z146" s="38" t="n">
        <x:f>ROUND(L146*O146,2)</x:f>
        <x:v>20848</x:v>
      </x:c>
      <x:c r="AA146" t="n">
        <x:f>IF(S146="","",S146-N146)</x:f>
        <x:v>12</x:v>
      </x:c>
      <x:c r="AB146" t="str">
        <x:f>IF(S146="","Open",IF(S146&lt;=R146,"On Time","Late"))</x:f>
        <x:v>On Time</x:v>
      </x:c>
      <x:c r="AC146" t="str">
        <x:f>IF(S146="","Open",IF(T146=L146,"Match","Mismatch"))</x:f>
        <x:v>Match</x:v>
      </x:c>
      <x:c r="AD146" t="str">
        <x:f>IF(V146="","Open",IF(ABS(X146-Z146)&lt;=1,"Match","Mismatch"))</x:f>
        <x:v>Match</x:v>
      </x:c>
      <x:c r="AE146" t="str">
        <x:f>IF(OR(AC146="Open",AD146="Open"),"Open",IF(AND(AC146="Match",AD146="Match",W146=T146),"Matched","Exception"))</x:f>
        <x:v>Matched</x:v>
      </x:c>
      <x:c r="AF146" s="40" t="n">
        <x:f>MAX(L146-T146,0)</x:f>
        <x:v>0</x:v>
      </x:c>
    </x:row>
    <x:row r="147">
      <x:c r="A147" t="str">
        <x:v>PR100146</x:v>
      </x:c>
      <x:c r="B147" s="36" t="n">
        <x:v>46276</x:v>
      </x:c>
      <x:c r="C147" t="str">
        <x:v>Facilities</x:v>
      </x:c>
      <x:c r="D147" t="str">
        <x:v>PRJ-008</x:v>
      </x:c>
      <x:c r="E147" t="str">
        <x:v>MAT024</x:v>
      </x:c>
      <x:c r="F147" t="str">
        <x:v>Binding Wire</x:v>
      </x:c>
      <x:c r="G147" t="str">
        <x:v>Steel</x:v>
      </x:c>
      <x:c r="H147" t="str">
        <x:v>KG</x:v>
      </x:c>
      <x:c r="I147" t="str">
        <x:v>SUP009</x:v>
      </x:c>
      <x:c r="J147" t="str">
        <x:v>Nava Bharat Hardware</x:v>
      </x:c>
      <x:c r="K147" t="str">
        <x:v>Andhra Pradesh</x:v>
      </x:c>
      <x:c r="L147" s="40" t="n">
        <x:v>150</x:v>
      </x:c>
      <x:c r="M147" t="str">
        <x:v>PO200146</x:v>
      </x:c>
      <x:c r="N147" s="36" t="n">
        <x:v>46280</x:v>
      </x:c>
      <x:c r="O147" s="38" t="n">
        <x:v>86.23</x:v>
      </x:c>
      <x:c r="P147" t="str">
        <x:v>45 Days</x:v>
      </x:c>
      <x:c r="Q147" t="str">
        <x:v>M. Priya</x:v>
      </x:c>
      <x:c r="R147" s="36" t="n">
        <x:v>46284</x:v>
      </x:c>
      <x:c r="S147" s="36" t="n">
        <x:v>46282</x:v>
      </x:c>
      <x:c r="T147" s="40" t="n">
        <x:v>150</x:v>
      </x:c>
      <x:c r="U147" t="str">
        <x:v>INV300146</x:v>
      </x:c>
      <x:c r="V147" s="36" t="n">
        <x:v>46289</x:v>
      </x:c>
      <x:c r="W147" s="40" t="n">
        <x:v>150</x:v>
      </x:c>
      <x:c r="X147" s="38" t="n">
        <x:v>12934.5</x:v>
      </x:c>
      <x:c r="Y147" t="str">
        <x:v>Paid</x:v>
      </x:c>
      <x:c r="Z147" s="38" t="n">
        <x:f>ROUND(L147*O147,2)</x:f>
        <x:v>12934.5</x:v>
      </x:c>
      <x:c r="AA147" t="n">
        <x:f>IF(S147="","",S147-N147)</x:f>
        <x:v>2</x:v>
      </x:c>
      <x:c r="AB147" t="str">
        <x:f>IF(S147="","Open",IF(S147&lt;=R147,"On Time","Late"))</x:f>
        <x:v>On Time</x:v>
      </x:c>
      <x:c r="AC147" t="str">
        <x:f>IF(S147="","Open",IF(T147=L147,"Match","Mismatch"))</x:f>
        <x:v>Match</x:v>
      </x:c>
      <x:c r="AD147" t="str">
        <x:f>IF(V147="","Open",IF(ABS(X147-Z147)&lt;=1,"Match","Mismatch"))</x:f>
        <x:v>Match</x:v>
      </x:c>
      <x:c r="AE147" t="str">
        <x:f>IF(OR(AC147="Open",AD147="Open"),"Open",IF(AND(AC147="Match",AD147="Match",W147=T147),"Matched","Exception"))</x:f>
        <x:v>Matched</x:v>
      </x:c>
      <x:c r="AF147" s="40" t="n">
        <x:f>MAX(L147-T147,0)</x:f>
        <x:v>0</x:v>
      </x:c>
    </x:row>
    <x:row r="148">
      <x:c r="A148" t="str">
        <x:v>PR100147</x:v>
      </x:c>
      <x:c r="B148" s="36" t="n">
        <x:v>46093</x:v>
      </x:c>
      <x:c r="C148" t="str">
        <x:v>Maintenance</x:v>
      </x:c>
      <x:c r="D148" t="str">
        <x:v>PRJ-004</x:v>
      </x:c>
      <x:c r="E148" t="str">
        <x:v>MAT019</x:v>
      </x:c>
      <x:c r="F148" t="str">
        <x:v>Reflective Safety Vest</x:v>
      </x:c>
      <x:c r="G148" t="str">
        <x:v>Safety</x:v>
      </x:c>
      <x:c r="H148" t="str">
        <x:v>EA</x:v>
      </x:c>
      <x:c r="I148" t="str">
        <x:v>SUP007</x:v>
      </x:c>
      <x:c r="J148" t="str">
        <x:v>Precision Tools India</x:v>
      </x:c>
      <x:c r="K148" t="str">
        <x:v>Telangana</x:v>
      </x:c>
      <x:c r="L148" s="40" t="n">
        <x:v>10</x:v>
      </x:c>
      <x:c r="M148" t="str">
        <x:v>PO200147</x:v>
      </x:c>
      <x:c r="N148" s="36" t="n">
        <x:v>46098</x:v>
      </x:c>
      <x:c r="O148" s="38" t="n">
        <x:v>241.35</x:v>
      </x:c>
      <x:c r="P148" t="str">
        <x:v>60 Days</x:v>
      </x:c>
      <x:c r="Q148" t="str">
        <x:v>S. Kumar</x:v>
      </x:c>
      <x:c r="R148" s="36" t="n">
        <x:v>46116</x:v>
      </x:c>
      <x:c r="S148" s="36" t="n">
        <x:v>46116</x:v>
      </x:c>
      <x:c r="T148" s="40" t="n">
        <x:v>10</x:v>
      </x:c>
      <x:c r="U148" t="str">
        <x:v>INV300147</x:v>
      </x:c>
      <x:c r="V148" s="36" t="n">
        <x:v>46123</x:v>
      </x:c>
      <x:c r="W148" s="40" t="n">
        <x:v>10</x:v>
      </x:c>
      <x:c r="X148" s="38" t="n">
        <x:v>2413.5</x:v>
      </x:c>
      <x:c r="Y148" t="str">
        <x:v>Blocked for Review</x:v>
      </x:c>
      <x:c r="Z148" s="38" t="n">
        <x:f>ROUND(L148*O148,2)</x:f>
        <x:v>2413.5</x:v>
      </x:c>
      <x:c r="AA148" t="n">
        <x:f>IF(S148="","",S148-N148)</x:f>
        <x:v>18</x:v>
      </x:c>
      <x:c r="AB148" t="str">
        <x:f>IF(S148="","Open",IF(S148&lt;=R148,"On Time","Late"))</x:f>
        <x:v>On Time</x:v>
      </x:c>
      <x:c r="AC148" t="str">
        <x:f>IF(S148="","Open",IF(T148=L148,"Match","Mismatch"))</x:f>
        <x:v>Match</x:v>
      </x:c>
      <x:c r="AD148" t="str">
        <x:f>IF(V148="","Open",IF(ABS(X148-Z148)&lt;=1,"Match","Mismatch"))</x:f>
        <x:v>Match</x:v>
      </x:c>
      <x:c r="AE148" t="str">
        <x:f>IF(OR(AC148="Open",AD148="Open"),"Open",IF(AND(AC148="Match",AD148="Match",W148=T148),"Matched","Exception"))</x:f>
        <x:v>Matched</x:v>
      </x:c>
      <x:c r="AF148" s="40" t="n">
        <x:f>MAX(L148-T148,0)</x:f>
        <x:v>0</x:v>
      </x:c>
    </x:row>
    <x:row r="149">
      <x:c r="A149" t="str">
        <x:v>PR100148</x:v>
      </x:c>
      <x:c r="B149" s="36" t="n">
        <x:v>46167</x:v>
      </x:c>
      <x:c r="C149" t="str">
        <x:v>Civil Projects</x:v>
      </x:c>
      <x:c r="D149" t="str">
        <x:v>PRJ-001</x:v>
      </x:c>
      <x:c r="E149" t="str">
        <x:v>MAT020</x:v>
      </x:c>
      <x:c r="F149" t="str">
        <x:v>Safety Shoes</x:v>
      </x:c>
      <x:c r="G149" t="str">
        <x:v>Safety</x:v>
      </x:c>
      <x:c r="H149" t="str">
        <x:v>PAIR</x:v>
      </x:c>
      <x:c r="I149" t="str">
        <x:v>SUP006</x:v>
      </x:c>
      <x:c r="J149" t="str">
        <x:v>SafeSite Industrial</x:v>
      </x:c>
      <x:c r="K149" t="str">
        <x:v>Karnataka</x:v>
      </x:c>
      <x:c r="L149" s="40" t="n">
        <x:v>20</x:v>
      </x:c>
      <x:c r="M149" t="str">
        <x:v>PO200148</x:v>
      </x:c>
      <x:c r="N149" s="36" t="n">
        <x:v>46169</x:v>
      </x:c>
      <x:c r="O149" s="38" t="n">
        <x:v>1431.05</x:v>
      </x:c>
      <x:c r="P149" t="str">
        <x:v>30 Days</x:v>
      </x:c>
      <x:c r="Q149" t="str">
        <x:v>R. Sharma</x:v>
      </x:c>
      <x:c r="R149" s="36" t="n">
        <x:v>46177</x:v>
      </x:c>
      <x:c r="S149" s="36" t="n">
        <x:v>46184</x:v>
      </x:c>
      <x:c r="T149" s="40" t="n">
        <x:v>20</x:v>
      </x:c>
      <x:c r="U149" t="str">
        <x:v>INV300148</x:v>
      </x:c>
      <x:c r="V149" s="36" t="n">
        <x:v>46190</x:v>
      </x:c>
      <x:c r="W149" s="40" t="n">
        <x:v>20</x:v>
      </x:c>
      <x:c r="X149" s="38" t="n">
        <x:v>28621</x:v>
      </x:c>
      <x:c r="Y149" t="str">
        <x:v>Paid</x:v>
      </x:c>
      <x:c r="Z149" s="38" t="n">
        <x:f>ROUND(L149*O149,2)</x:f>
        <x:v>28621</x:v>
      </x:c>
      <x:c r="AA149" t="n">
        <x:f>IF(S149="","",S149-N149)</x:f>
        <x:v>15</x:v>
      </x:c>
      <x:c r="AB149" t="str">
        <x:f>IF(S149="","Open",IF(S149&lt;=R149,"On Time","Late"))</x:f>
        <x:v>Late</x:v>
      </x:c>
      <x:c r="AC149" t="str">
        <x:f>IF(S149="","Open",IF(T149=L149,"Match","Mismatch"))</x:f>
        <x:v>Match</x:v>
      </x:c>
      <x:c r="AD149" t="str">
        <x:f>IF(V149="","Open",IF(ABS(X149-Z149)&lt;=1,"Match","Mismatch"))</x:f>
        <x:v>Match</x:v>
      </x:c>
      <x:c r="AE149" t="str">
        <x:f>IF(OR(AC149="Open",AD149="Open"),"Open",IF(AND(AC149="Match",AD149="Match",W149=T149),"Matched","Exception"))</x:f>
        <x:v>Matched</x:v>
      </x:c>
      <x:c r="AF149" s="40" t="n">
        <x:f>MAX(L149-T149,0)</x:f>
        <x:v>0</x:v>
      </x:c>
    </x:row>
    <x:row r="150">
      <x:c r="A150" t="str">
        <x:v>PR100149</x:v>
      </x:c>
      <x:c r="B150" s="36" t="n">
        <x:v>46142</x:v>
      </x:c>
      <x:c r="C150" t="str">
        <x:v>Operations</x:v>
      </x:c>
      <x:c r="D150" t="str">
        <x:v>PRJ-006</x:v>
      </x:c>
      <x:c r="E150" t="str">
        <x:v>MAT005</x:v>
      </x:c>
      <x:c r="F150" t="str">
        <x:v>TMT Steel Fe500 16mm</x:v>
      </x:c>
      <x:c r="G150" t="str">
        <x:v>Steel</x:v>
      </x:c>
      <x:c r="H150" t="str">
        <x:v>KG</x:v>
      </x:c>
      <x:c r="I150" t="str">
        <x:v>SUP002</x:v>
      </x:c>
      <x:c r="J150" t="str">
        <x:v>Metro Steel Traders</x:v>
      </x:c>
      <x:c r="K150" t="str">
        <x:v>Telangana</x:v>
      </x:c>
      <x:c r="L150" s="40" t="n">
        <x:v>500</x:v>
      </x:c>
      <x:c r="M150" t="str">
        <x:v>PO200149</x:v>
      </x:c>
      <x:c r="N150" s="36" t="n">
        <x:v>46146</x:v>
      </x:c>
      <x:c r="O150" s="38" t="n">
        <x:v>67.23</x:v>
      </x:c>
      <x:c r="P150" t="str">
        <x:v>45 Days</x:v>
      </x:c>
      <x:c r="Q150" t="str">
        <x:v>S. Kumar</x:v>
      </x:c>
      <x:c r="R150" s="36" t="n">
        <x:v>46150</x:v>
      </x:c>
      <x:c r="S150" s="36" t="n">
        <x:v>46149</x:v>
      </x:c>
      <x:c r="T150" s="40" t="n">
        <x:v>500</x:v>
      </x:c>
      <x:c r="U150" t="str">
        <x:v>INV300149</x:v>
      </x:c>
      <x:c r="V150" s="36" t="n">
        <x:v>46151</x:v>
      </x:c>
      <x:c r="W150" s="40" t="n">
        <x:v>500</x:v>
      </x:c>
      <x:c r="X150" s="38" t="n">
        <x:v>33615</x:v>
      </x:c>
      <x:c r="Y150" t="str">
        <x:v>Paid</x:v>
      </x:c>
      <x:c r="Z150" s="38" t="n">
        <x:f>ROUND(L150*O150,2)</x:f>
        <x:v>33615</x:v>
      </x:c>
      <x:c r="AA150" t="n">
        <x:f>IF(S150="","",S150-N150)</x:f>
        <x:v>3</x:v>
      </x:c>
      <x:c r="AB150" t="str">
        <x:f>IF(S150="","Open",IF(S150&lt;=R150,"On Time","Late"))</x:f>
        <x:v>On Time</x:v>
      </x:c>
      <x:c r="AC150" t="str">
        <x:f>IF(S150="","Open",IF(T150=L150,"Match","Mismatch"))</x:f>
        <x:v>Match</x:v>
      </x:c>
      <x:c r="AD150" t="str">
        <x:f>IF(V150="","Open",IF(ABS(X150-Z150)&lt;=1,"Match","Mismatch"))</x:f>
        <x:v>Match</x:v>
      </x:c>
      <x:c r="AE150" t="str">
        <x:f>IF(OR(AC150="Open",AD150="Open"),"Open",IF(AND(AC150="Match",AD150="Match",W150=T150),"Matched","Exception"))</x:f>
        <x:v>Matched</x:v>
      </x:c>
      <x:c r="AF150" s="40" t="n">
        <x:f>MAX(L150-T150,0)</x:f>
        <x:v>0</x:v>
      </x:c>
    </x:row>
    <x:row r="151">
      <x:c r="A151" t="str">
        <x:v>PR100150</x:v>
      </x:c>
      <x:c r="B151" s="36" t="n">
        <x:v>46100</x:v>
      </x:c>
      <x:c r="C151" t="str">
        <x:v>Facilities</x:v>
      </x:c>
      <x:c r="D151" t="str">
        <x:v>PRJ-002</x:v>
      </x:c>
      <x:c r="E151" t="str">
        <x:v>MAT025</x:v>
      </x:c>
      <x:c r="F151" t="str">
        <x:v>Shuttering Plywood 12mm</x:v>
      </x:c>
      <x:c r="G151" t="str">
        <x:v>Formwork</x:v>
      </x:c>
      <x:c r="H151" t="str">
        <x:v>SHEET</x:v>
      </x:c>
      <x:c r="I151" t="str">
        <x:v>SUP010</x:v>
      </x:c>
      <x:c r="J151" t="str">
        <x:v>Urban Infra Materials</x:v>
      </x:c>
      <x:c r="K151" t="str">
        <x:v>Karnataka</x:v>
      </x:c>
      <x:c r="L151" s="40" t="n">
        <x:v>10</x:v>
      </x:c>
      <x:c r="M151" t="str">
        <x:v>PO200150</x:v>
      </x:c>
      <x:c r="N151" s="36" t="n">
        <x:v>46103</x:v>
      </x:c>
      <x:c r="O151" s="38" t="n">
        <x:v>1359.41</x:v>
      </x:c>
      <x:c r="P151" t="str">
        <x:v>30 Days</x:v>
      </x:c>
      <x:c r="Q151" t="str">
        <x:v>S. Kumar</x:v>
      </x:c>
      <x:c r="R151" s="36" t="n">
        <x:v>46116</x:v>
      </x:c>
      <x:c r="S151" s="36" t="n">
        <x:v>46115</x:v>
      </x:c>
      <x:c r="T151" s="40" t="n">
        <x:v>10</x:v>
      </x:c>
      <x:c r="U151" t="str">
        <x:v>INV300150</x:v>
      </x:c>
      <x:c r="V151" s="36" t="n">
        <x:v>46117</x:v>
      </x:c>
      <x:c r="W151" s="40" t="n">
        <x:v>10</x:v>
      </x:c>
      <x:c r="X151" s="38" t="n">
        <x:v>13594.1</x:v>
      </x:c>
      <x:c r="Y151" t="str">
        <x:v>Paid</x:v>
      </x:c>
      <x:c r="Z151" s="38" t="n">
        <x:f>ROUND(L151*O151,2)</x:f>
        <x:v>13594.1</x:v>
      </x:c>
      <x:c r="AA151" t="n">
        <x:f>IF(S151="","",S151-N151)</x:f>
        <x:v>12</x:v>
      </x:c>
      <x:c r="AB151" t="str">
        <x:f>IF(S151="","Open",IF(S151&lt;=R151,"On Time","Late"))</x:f>
        <x:v>On Time</x:v>
      </x:c>
      <x:c r="AC151" t="str">
        <x:f>IF(S151="","Open",IF(T151=L151,"Match","Mismatch"))</x:f>
        <x:v>Match</x:v>
      </x:c>
      <x:c r="AD151" t="str">
        <x:f>IF(V151="","Open",IF(ABS(X151-Z151)&lt;=1,"Match","Mismatch"))</x:f>
        <x:v>Match</x:v>
      </x:c>
      <x:c r="AE151" t="str">
        <x:f>IF(OR(AC151="Open",AD151="Open"),"Open",IF(AND(AC151="Match",AD151="Match",W151=T151),"Matched","Exception"))</x:f>
        <x:v>Matched</x:v>
      </x:c>
      <x:c r="AF151" s="40" t="n">
        <x:f>MAX(L151-T151,0)</x:f>
        <x:v>0</x:v>
      </x:c>
    </x:row>
    <x:row r="152">
      <x:c r="A152" t="str">
        <x:v>PR100151</x:v>
      </x:c>
      <x:c r="B152" s="36" t="n">
        <x:v>46206</x:v>
      </x:c>
      <x:c r="C152" t="str">
        <x:v>Facilities</x:v>
      </x:c>
      <x:c r="D152" t="str">
        <x:v>PRJ-007</x:v>
      </x:c>
      <x:c r="E152" t="str">
        <x:v>MAT008</x:v>
      </x:c>
      <x:c r="F152" t="str">
        <x:v>20mm Aggregate</x:v>
      </x:c>
      <x:c r="G152" t="str">
        <x:v>Aggregates</x:v>
      </x:c>
      <x:c r="H152" t="str">
        <x:v>TON</x:v>
      </x:c>
      <x:c r="I152" t="str">
        <x:v>SUP012</x:v>
      </x:c>
      <x:c r="J152" t="str">
        <x:v>GreenField Construction Supply</x:v>
      </x:c>
      <x:c r="K152" t="str">
        <x:v>Telangana</x:v>
      </x:c>
      <x:c r="L152" s="40" t="n">
        <x:v>10</x:v>
      </x:c>
      <x:c r="M152" t="str">
        <x:v>PO200151</x:v>
      </x:c>
      <x:c r="N152" s="36" t="n">
        <x:v>46210</x:v>
      </x:c>
      <x:c r="O152" s="38" t="n">
        <x:v>1205.75</x:v>
      </x:c>
      <x:c r="P152" t="str">
        <x:v>45 Days</x:v>
      </x:c>
      <x:c r="Q152" t="str">
        <x:v>A. Reddy</x:v>
      </x:c>
      <x:c r="R152" s="36" t="n">
        <x:v>46226</x:v>
      </x:c>
      <x:c r="S152" s="36" t="n">
        <x:v>46224</x:v>
      </x:c>
      <x:c r="T152" s="40" t="n">
        <x:v>10</x:v>
      </x:c>
      <x:c r="U152" t="str">
        <x:v>INV300151</x:v>
      </x:c>
      <x:c r="V152" s="36" t="n">
        <x:v>46230</x:v>
      </x:c>
      <x:c r="W152" s="40" t="n">
        <x:v>5</x:v>
      </x:c>
      <x:c r="X152" s="38" t="n">
        <x:v>12057.5</x:v>
      </x:c>
      <x:c r="Y152" t="str">
        <x:v>Paid</x:v>
      </x:c>
      <x:c r="Z152" s="38" t="n">
        <x:f>ROUND(L152*O152,2)</x:f>
        <x:v>12057.5</x:v>
      </x:c>
      <x:c r="AA152" t="n">
        <x:f>IF(S152="","",S152-N152)</x:f>
        <x:v>14</x:v>
      </x:c>
      <x:c r="AB152" t="str">
        <x:f>IF(S152="","Open",IF(S152&lt;=R152,"On Time","Late"))</x:f>
        <x:v>On Time</x:v>
      </x:c>
      <x:c r="AC152" t="str">
        <x:f>IF(S152="","Open",IF(T152=L152,"Match","Mismatch"))</x:f>
        <x:v>Match</x:v>
      </x:c>
      <x:c r="AD152" t="str">
        <x:f>IF(V152="","Open",IF(ABS(X152-Z152)&lt;=1,"Match","Mismatch"))</x:f>
        <x:v>Match</x:v>
      </x:c>
      <x:c r="AE152" t="str">
        <x:f>IF(OR(AC152="Open",AD152="Open"),"Open",IF(AND(AC152="Match",AD152="Match",W152=T152),"Matched","Exception"))</x:f>
        <x:v>Exception</x:v>
      </x:c>
      <x:c r="AF152" s="40" t="n">
        <x:f>MAX(L152-T152,0)</x:f>
        <x:v>0</x:v>
      </x:c>
    </x:row>
    <x:row r="153">
      <x:c r="A153" t="str">
        <x:v>PR100152</x:v>
      </x:c>
      <x:c r="B153" s="36" t="n">
        <x:v>46224</x:v>
      </x:c>
      <x:c r="C153" t="str">
        <x:v>Facilities</x:v>
      </x:c>
      <x:c r="D153" t="str">
        <x:v>PRJ-008</x:v>
      </x:c>
      <x:c r="E153" t="str">
        <x:v>MAT016</x:v>
      </x:c>
      <x:c r="F153" t="str">
        <x:v>MCB 32A</x:v>
      </x:c>
      <x:c r="G153" t="str">
        <x:v>Electrical</x:v>
      </x:c>
      <x:c r="H153" t="str">
        <x:v>EA</x:v>
      </x:c>
      <x:c r="I153" t="str">
        <x:v>SUP011</x:v>
      </x:c>
      <x:c r="J153" t="str">
        <x:v>Vertex Industrial Supply</x:v>
      </x:c>
      <x:c r="K153" t="str">
        <x:v>Maharashtra</x:v>
      </x:c>
      <x:c r="L153" s="40" t="n">
        <x:v>200</x:v>
      </x:c>
      <x:c r="M153" t="str">
        <x:v>PO200152</x:v>
      </x:c>
      <x:c r="N153" s="36" t="n">
        <x:v>46225</x:v>
      </x:c>
      <x:c r="O153" s="38" t="n">
        <x:v>485.05</x:v>
      </x:c>
      <x:c r="P153" t="str">
        <x:v>30 Days</x:v>
      </x:c>
      <x:c r="Q153" t="str">
        <x:v>A. Reddy</x:v>
      </x:c>
      <x:c r="R153" s="36" t="n">
        <x:v>46236</x:v>
      </x:c>
      <x:c r="S153" s="36" t="n">
        <x:v>46242</x:v>
      </x:c>
      <x:c r="T153" s="40" t="n">
        <x:v>200</x:v>
      </x:c>
      <x:c r="U153" t="str">
        <x:v>INV300152</x:v>
      </x:c>
      <x:c r="V153" s="36" t="n">
        <x:v>46244</x:v>
      </x:c>
      <x:c r="W153" s="40" t="n">
        <x:v>200</x:v>
      </x:c>
      <x:c r="X153" s="38" t="n">
        <x:v>97010</x:v>
      </x:c>
      <x:c r="Y153" t="str">
        <x:v>Paid</x:v>
      </x:c>
      <x:c r="Z153" s="38" t="n">
        <x:f>ROUND(L153*O153,2)</x:f>
        <x:v>97010</x:v>
      </x:c>
      <x:c r="AA153" t="n">
        <x:f>IF(S153="","",S153-N153)</x:f>
        <x:v>17</x:v>
      </x:c>
      <x:c r="AB153" t="str">
        <x:f>IF(S153="","Open",IF(S153&lt;=R153,"On Time","Late"))</x:f>
        <x:v>Late</x:v>
      </x:c>
      <x:c r="AC153" t="str">
        <x:f>IF(S153="","Open",IF(T153=L153,"Match","Mismatch"))</x:f>
        <x:v>Match</x:v>
      </x:c>
      <x:c r="AD153" t="str">
        <x:f>IF(V153="","Open",IF(ABS(X153-Z153)&lt;=1,"Match","Mismatch"))</x:f>
        <x:v>Match</x:v>
      </x:c>
      <x:c r="AE153" t="str">
        <x:f>IF(OR(AC153="Open",AD153="Open"),"Open",IF(AND(AC153="Match",AD153="Match",W153=T153),"Matched","Exception"))</x:f>
        <x:v>Matched</x:v>
      </x:c>
      <x:c r="AF153" s="40" t="n">
        <x:f>MAX(L153-T153,0)</x:f>
        <x:v>0</x:v>
      </x:c>
    </x:row>
    <x:row r="154">
      <x:c r="A154" t="str">
        <x:v>PR100153</x:v>
      </x:c>
      <x:c r="B154" s="36" t="n">
        <x:v>46034</x:v>
      </x:c>
      <x:c r="C154" t="str">
        <x:v>Operations</x:v>
      </x:c>
      <x:c r="D154" t="str">
        <x:v>PRJ-002</x:v>
      </x:c>
      <x:c r="E154" t="str">
        <x:v>MAT038</x:v>
      </x:c>
      <x:c r="F154" t="str">
        <x:v>Hex Bolt M12</x:v>
      </x:c>
      <x:c r="G154" t="str">
        <x:v>Hardware</x:v>
      </x:c>
      <x:c r="H154" t="str">
        <x:v>EA</x:v>
      </x:c>
      <x:c r="I154" t="str">
        <x:v>SUP009</x:v>
      </x:c>
      <x:c r="J154" t="str">
        <x:v>Nava Bharat Hardware</x:v>
      </x:c>
      <x:c r="K154" t="str">
        <x:v>Andhra Pradesh</x:v>
      </x:c>
      <x:c r="L154" s="40" t="n">
        <x:v>10</x:v>
      </x:c>
      <x:c r="M154" t="str">
        <x:v>PO200153</x:v>
      </x:c>
      <x:c r="N154" s="36" t="n">
        <x:v>46036</x:v>
      </x:c>
      <x:c r="O154" s="38" t="n">
        <x:v>24</x:v>
      </x:c>
      <x:c r="P154" t="str">
        <x:v>45 Days</x:v>
      </x:c>
      <x:c r="Q154" t="str">
        <x:v>A. Reddy</x:v>
      </x:c>
      <x:c r="R154" s="36" t="n">
        <x:v>46040</x:v>
      </x:c>
      <x:c r="S154" s="36" t="n">
        <x:v>46037</x:v>
      </x:c>
      <x:c r="T154" s="40" t="n">
        <x:v>10</x:v>
      </x:c>
      <x:c r="U154" t="str">
        <x:v>INV300153</x:v>
      </x:c>
      <x:c r="V154" s="36" t="n">
        <x:v>46041</x:v>
      </x:c>
      <x:c r="W154" s="40" t="n">
        <x:v>10</x:v>
      </x:c>
      <x:c r="X154" s="38" t="n">
        <x:v>240</x:v>
      </x:c>
      <x:c r="Y154" t="str">
        <x:v>Paid</x:v>
      </x:c>
      <x:c r="Z154" s="38" t="n">
        <x:f>ROUND(L154*O154,2)</x:f>
        <x:v>240</x:v>
      </x:c>
      <x:c r="AA154" t="n">
        <x:f>IF(S154="","",S154-N154)</x:f>
        <x:v>1</x:v>
      </x:c>
      <x:c r="AB154" t="str">
        <x:f>IF(S154="","Open",IF(S154&lt;=R154,"On Time","Late"))</x:f>
        <x:v>On Time</x:v>
      </x:c>
      <x:c r="AC154" t="str">
        <x:f>IF(S154="","Open",IF(T154=L154,"Match","Mismatch"))</x:f>
        <x:v>Match</x:v>
      </x:c>
      <x:c r="AD154" t="str">
        <x:f>IF(V154="","Open",IF(ABS(X154-Z154)&lt;=1,"Match","Mismatch"))</x:f>
        <x:v>Match</x:v>
      </x:c>
      <x:c r="AE154" t="str">
        <x:f>IF(OR(AC154="Open",AD154="Open"),"Open",IF(AND(AC154="Match",AD154="Match",W154=T154),"Matched","Exception"))</x:f>
        <x:v>Matched</x:v>
      </x:c>
      <x:c r="AF154" s="40" t="n">
        <x:f>MAX(L154-T154,0)</x:f>
        <x:v>0</x:v>
      </x:c>
    </x:row>
    <x:row r="155">
      <x:c r="A155" t="str">
        <x:v>PR100154</x:v>
      </x:c>
      <x:c r="B155" s="36" t="n">
        <x:v>46106</x:v>
      </x:c>
      <x:c r="C155" t="str">
        <x:v>Facilities</x:v>
      </x:c>
      <x:c r="D155" t="str">
        <x:v>PRJ-002</x:v>
      </x:c>
      <x:c r="E155" t="str">
        <x:v>MAT033</x:v>
      </x:c>
      <x:c r="F155" t="str">
        <x:v>Barcode Labels</x:v>
      </x:c>
      <x:c r="G155" t="str">
        <x:v>Office Supplies</x:v>
      </x:c>
      <x:c r="H155" t="str">
        <x:v>PACK</x:v>
      </x:c>
      <x:c r="I155" t="str">
        <x:v>SUP008</x:v>
      </x:c>
      <x:c r="J155" t="str">
        <x:v>Prime Office Solutions</x:v>
      </x:c>
      <x:c r="K155" t="str">
        <x:v>Telangana</x:v>
      </x:c>
      <x:c r="L155" s="40" t="n">
        <x:v>20</x:v>
      </x:c>
      <x:c r="M155" t="str">
        <x:v>PO200154</x:v>
      </x:c>
      <x:c r="N155" s="36" t="n">
        <x:v>46109</x:v>
      </x:c>
      <x:c r="O155" s="38" t="n">
        <x:v>634.29</x:v>
      </x:c>
      <x:c r="P155" t="str">
        <x:v>30 Days</x:v>
      </x:c>
      <x:c r="Q155" t="str">
        <x:v>S. Kumar</x:v>
      </x:c>
      <x:c r="R155" s="36" t="n">
        <x:v>46122</x:v>
      </x:c>
      <x:c r="S155" s="36" t="n">
        <x:v>46121</x:v>
      </x:c>
      <x:c r="T155" s="40" t="n">
        <x:v>19</x:v>
      </x:c>
      <x:c r="U155" t="str">
        <x:v>INV300154</x:v>
      </x:c>
      <x:c r="V155" s="36" t="n">
        <x:v>46125</x:v>
      </x:c>
      <x:c r="W155" s="40" t="n">
        <x:v>19</x:v>
      </x:c>
      <x:c r="X155" s="38" t="n">
        <x:v>12685.8</x:v>
      </x:c>
      <x:c r="Y155" t="str">
        <x:v>Paid</x:v>
      </x:c>
      <x:c r="Z155" s="38" t="n">
        <x:f>ROUND(L155*O155,2)</x:f>
        <x:v>12685.8</x:v>
      </x:c>
      <x:c r="AA155" t="n">
        <x:f>IF(S155="","",S155-N155)</x:f>
        <x:v>12</x:v>
      </x:c>
      <x:c r="AB155" t="str">
        <x:f>IF(S155="","Open",IF(S155&lt;=R155,"On Time","Late"))</x:f>
        <x:v>On Time</x:v>
      </x:c>
      <x:c r="AC155" t="str">
        <x:f>IF(S155="","Open",IF(T155=L155,"Match","Mismatch"))</x:f>
        <x:v>Mismatch</x:v>
      </x:c>
      <x:c r="AD155" t="str">
        <x:f>IF(V155="","Open",IF(ABS(X155-Z155)&lt;=1,"Match","Mismatch"))</x:f>
        <x:v>Match</x:v>
      </x:c>
      <x:c r="AE155" t="str">
        <x:f>IF(OR(AC155="Open",AD155="Open"),"Open",IF(AND(AC155="Match",AD155="Match",W155=T155),"Matched","Exception"))</x:f>
        <x:v>Exception</x:v>
      </x:c>
      <x:c r="AF155" s="40" t="n">
        <x:f>MAX(L155-T155,0)</x:f>
        <x:v>1</x:v>
      </x:c>
    </x:row>
    <x:row r="156">
      <x:c r="A156" t="str">
        <x:v>PR100155</x:v>
      </x:c>
      <x:c r="B156" s="36" t="n">
        <x:v>46281</x:v>
      </x:c>
      <x:c r="C156" t="str">
        <x:v>Civil Projects</x:v>
      </x:c>
      <x:c r="D156" t="str">
        <x:v>PRJ-005</x:v>
      </x:c>
      <x:c r="E156" t="str">
        <x:v>MAT001</x:v>
      </x:c>
      <x:c r="F156" t="str">
        <x:v>OPC Cement 50kg</x:v>
      </x:c>
      <x:c r="G156" t="str">
        <x:v>Cement &amp; Concrete</x:v>
      </x:c>
      <x:c r="H156" t="str">
        <x:v>BAG</x:v>
      </x:c>
      <x:c r="I156" t="str">
        <x:v>SUP001</x:v>
      </x:c>
      <x:c r="J156" t="str">
        <x:v>Deccan Cement Supplies</x:v>
      </x:c>
      <x:c r="K156" t="str">
        <x:v>Telangana</x:v>
      </x:c>
      <x:c r="L156" s="40" t="n">
        <x:v>40</x:v>
      </x:c>
      <x:c r="M156" t="str">
        <x:v>PO200155</x:v>
      </x:c>
      <x:c r="N156" s="36" t="n">
        <x:v>46285</x:v>
      </x:c>
      <x:c r="O156" s="38" t="n">
        <x:v>346.77</x:v>
      </x:c>
      <x:c r="P156" t="str">
        <x:v>60 Days</x:v>
      </x:c>
      <x:c r="Q156" t="str">
        <x:v>A. Reddy</x:v>
      </x:c>
      <x:c r="R156" s="36" t="n">
        <x:v>46297</x:v>
      </x:c>
      <x:c r="S156" s="36" t="n">
        <x:v>46295</x:v>
      </x:c>
      <x:c r="T156" s="40" t="n">
        <x:v>40</x:v>
      </x:c>
      <x:c r="U156" t="str">
        <x:v>INV300155</x:v>
      </x:c>
      <x:c r="V156" s="36" t="n">
        <x:v>46296</x:v>
      </x:c>
      <x:c r="W156" s="40" t="n">
        <x:v>40</x:v>
      </x:c>
      <x:c r="X156" s="38" t="n">
        <x:v>14425.63</x:v>
      </x:c>
      <x:c r="Y156" t="str">
        <x:v>Paid</x:v>
      </x:c>
      <x:c r="Z156" s="38" t="n">
        <x:f>ROUND(L156*O156,2)</x:f>
        <x:v>13870.8</x:v>
      </x:c>
      <x:c r="AA156" t="n">
        <x:f>IF(S156="","",S156-N156)</x:f>
        <x:v>10</x:v>
      </x:c>
      <x:c r="AB156" t="str">
        <x:f>IF(S156="","Open",IF(S156&lt;=R156,"On Time","Late"))</x:f>
        <x:v>On Time</x:v>
      </x:c>
      <x:c r="AC156" t="str">
        <x:f>IF(S156="","Open",IF(T156=L156,"Match","Mismatch"))</x:f>
        <x:v>Match</x:v>
      </x:c>
      <x:c r="AD156" t="str">
        <x:f>IF(V156="","Open",IF(ABS(X156-Z156)&lt;=1,"Match","Mismatch"))</x:f>
        <x:v>Mismatch</x:v>
      </x:c>
      <x:c r="AE156" t="str">
        <x:f>IF(OR(AC156="Open",AD156="Open"),"Open",IF(AND(AC156="Match",AD156="Match",W156=T156),"Matched","Exception"))</x:f>
        <x:v>Exception</x:v>
      </x:c>
      <x:c r="AF156" s="40" t="n">
        <x:f>MAX(L156-T156,0)</x:f>
        <x:v>0</x:v>
      </x:c>
    </x:row>
    <x:row r="157">
      <x:c r="A157" t="str">
        <x:v>PR100156</x:v>
      </x:c>
      <x:c r="B157" s="36" t="n">
        <x:v>46288</x:v>
      </x:c>
      <x:c r="C157" t="str">
        <x:v>Maintenance</x:v>
      </x:c>
      <x:c r="D157" t="str">
        <x:v>PRJ-003</x:v>
      </x:c>
      <x:c r="E157" t="str">
        <x:v>MAT032</x:v>
      </x:c>
      <x:c r="F157" t="str">
        <x:v>Printer Toner</x:v>
      </x:c>
      <x:c r="G157" t="str">
        <x:v>Office Supplies</x:v>
      </x:c>
      <x:c r="H157" t="str">
        <x:v>EA</x:v>
      </x:c>
      <x:c r="I157" t="str">
        <x:v>SUP008</x:v>
      </x:c>
      <x:c r="J157" t="str">
        <x:v>Prime Office Solutions</x:v>
      </x:c>
      <x:c r="K157" t="str">
        <x:v>Telangana</x:v>
      </x:c>
      <x:c r="L157" s="40" t="n">
        <x:v>200</x:v>
      </x:c>
      <x:c r="M157" t="str">
        <x:v>PO200156</x:v>
      </x:c>
      <x:c r="N157" s="36" t="n">
        <x:v>46290</x:v>
      </x:c>
      <x:c r="O157" s="38" t="n">
        <x:v>4417.68</x:v>
      </x:c>
      <x:c r="P157" t="str">
        <x:v>30 Days</x:v>
      </x:c>
      <x:c r="Q157" t="str">
        <x:v>A. Reddy</x:v>
      </x:c>
      <x:c r="R157" s="36" t="n">
        <x:v>46301</x:v>
      </x:c>
      <x:c r="S157" s="36" t="n">
        <x:v>46301</x:v>
      </x:c>
      <x:c r="T157" s="40" t="n">
        <x:v>200</x:v>
      </x:c>
      <x:c r="U157" t="str">
        <x:v>INV300156</x:v>
      </x:c>
      <x:c r="V157" s="36" t="n">
        <x:v>46306</x:v>
      </x:c>
      <x:c r="W157" s="40" t="n">
        <x:v>199</x:v>
      </x:c>
      <x:c r="X157" s="38" t="n">
        <x:v>883536</x:v>
      </x:c>
      <x:c r="Y157" t="str">
        <x:v>Paid</x:v>
      </x:c>
      <x:c r="Z157" s="38" t="n">
        <x:f>ROUND(L157*O157,2)</x:f>
        <x:v>883536</x:v>
      </x:c>
      <x:c r="AA157" t="n">
        <x:f>IF(S157="","",S157-N157)</x:f>
        <x:v>11</x:v>
      </x:c>
      <x:c r="AB157" t="str">
        <x:f>IF(S157="","Open",IF(S157&lt;=R157,"On Time","Late"))</x:f>
        <x:v>On Time</x:v>
      </x:c>
      <x:c r="AC157" t="str">
        <x:f>IF(S157="","Open",IF(T157=L157,"Match","Mismatch"))</x:f>
        <x:v>Match</x:v>
      </x:c>
      <x:c r="AD157" t="str">
        <x:f>IF(V157="","Open",IF(ABS(X157-Z157)&lt;=1,"Match","Mismatch"))</x:f>
        <x:v>Match</x:v>
      </x:c>
      <x:c r="AE157" t="str">
        <x:f>IF(OR(AC157="Open",AD157="Open"),"Open",IF(AND(AC157="Match",AD157="Match",W157=T157),"Matched","Exception"))</x:f>
        <x:v>Exception</x:v>
      </x:c>
      <x:c r="AF157" s="40" t="n">
        <x:f>MAX(L157-T157,0)</x:f>
        <x:v>0</x:v>
      </x:c>
    </x:row>
    <x:row r="158">
      <x:c r="A158" t="str">
        <x:v>PR100157</x:v>
      </x:c>
      <x:c r="B158" s="36" t="n">
        <x:v>46141</x:v>
      </x:c>
      <x:c r="C158" t="str">
        <x:v>Operations</x:v>
      </x:c>
      <x:c r="D158" t="str">
        <x:v>PRJ-002</x:v>
      </x:c>
      <x:c r="E158" t="str">
        <x:v>MAT036</x:v>
      </x:c>
      <x:c r="F158" t="str">
        <x:v>Cutting Disc 4 inch</x:v>
      </x:c>
      <x:c r="G158" t="str">
        <x:v>Consumables</x:v>
      </x:c>
      <x:c r="H158" t="str">
        <x:v>EA</x:v>
      </x:c>
      <x:c r="I158" t="str">
        <x:v>SUP009</x:v>
      </x:c>
      <x:c r="J158" t="str">
        <x:v>Nava Bharat Hardware</x:v>
      </x:c>
      <x:c r="K158" t="str">
        <x:v>Andhra Pradesh</x:v>
      </x:c>
      <x:c r="L158" s="40" t="n">
        <x:v>50</x:v>
      </x:c>
      <x:c r="M158" t="str">
        <x:v>PO200157</x:v>
      </x:c>
      <x:c r="N158" s="36" t="n">
        <x:v>46143</x:v>
      </x:c>
      <x:c r="O158" s="38" t="n">
        <x:v>46.5</x:v>
      </x:c>
      <x:c r="P158" t="str">
        <x:v>60 Days</x:v>
      </x:c>
      <x:c r="Q158" t="str">
        <x:v>A. Reddy</x:v>
      </x:c>
      <x:c r="R158" s="36" t="n">
        <x:v>46153</x:v>
      </x:c>
      <x:c r="S158" s="36"/>
      <x:c r="T158" s="40" t="n">
        <x:v>0</x:v>
      </x:c>
      <x:c r="U158" t="str"/>
      <x:c r="V158" s="36"/>
      <x:c r="W158" s="40" t="n">
        <x:v>0</x:v>
      </x:c>
      <x:c r="X158" s="38" t="str"/>
      <x:c r="Y158" t="str">
        <x:v>Open PO</x:v>
      </x:c>
      <x:c r="Z158" s="38" t="n">
        <x:f>ROUND(L158*O158,2)</x:f>
        <x:v>2325</x:v>
      </x:c>
      <x:c r="AA158" t="str">
        <x:f>IF(S158="","",S158-N158)</x:f>
      </x:c>
      <x:c r="AB158" t="str">
        <x:f>IF(S158="","Open",IF(S158&lt;=R158,"On Time","Late"))</x:f>
        <x:v>Open</x:v>
      </x:c>
      <x:c r="AC158" t="str">
        <x:f>IF(S158="","Open",IF(T158=L158,"Match","Mismatch"))</x:f>
        <x:v>Open</x:v>
      </x:c>
      <x:c r="AD158" t="str">
        <x:f>IF(V158="","Open",IF(ABS(X158-Z158)&lt;=1,"Match","Mismatch"))</x:f>
        <x:v>Open</x:v>
      </x:c>
      <x:c r="AE158" t="str">
        <x:f>IF(OR(AC158="Open",AD158="Open"),"Open",IF(AND(AC158="Match",AD158="Match",W158=T158),"Matched","Exception"))</x:f>
        <x:v>Open</x:v>
      </x:c>
      <x:c r="AF158" s="40" t="n">
        <x:f>MAX(L158-T158,0)</x:f>
        <x:v>50</x:v>
      </x:c>
    </x:row>
    <x:row r="159">
      <x:c r="A159" t="str">
        <x:v>PR100158</x:v>
      </x:c>
      <x:c r="B159" s="36" t="n">
        <x:v>46291</x:v>
      </x:c>
      <x:c r="C159" t="str">
        <x:v>Facilities</x:v>
      </x:c>
      <x:c r="D159" t="str">
        <x:v>PRJ-008</x:v>
      </x:c>
      <x:c r="E159" t="str">
        <x:v>MAT012</x:v>
      </x:c>
      <x:c r="F159" t="str">
        <x:v>PVC Pipe 110mm</x:v>
      </x:c>
      <x:c r="G159" t="str">
        <x:v>Plumbing</x:v>
      </x:c>
      <x:c r="H159" t="str">
        <x:v>M</x:v>
      </x:c>
      <x:c r="I159" t="str">
        <x:v>SUP005</x:v>
      </x:c>
      <x:c r="J159" t="str">
        <x:v>AquaFlow Pipes &amp; Fittings</x:v>
      </x:c>
      <x:c r="K159" t="str">
        <x:v>Telangana</x:v>
      </x:c>
      <x:c r="L159" s="40" t="n">
        <x:v>1000</x:v>
      </x:c>
      <x:c r="M159" t="str">
        <x:v>PO200158</x:v>
      </x:c>
      <x:c r="N159" s="36" t="n">
        <x:v>46292</x:v>
      </x:c>
      <x:c r="O159" s="38" t="n">
        <x:v>333.52</x:v>
      </x:c>
      <x:c r="P159" t="str">
        <x:v>45 Days</x:v>
      </x:c>
      <x:c r="Q159" t="str">
        <x:v>R. Sharma</x:v>
      </x:c>
      <x:c r="R159" s="36" t="n">
        <x:v>46297</x:v>
      </x:c>
      <x:c r="S159" s="36" t="n">
        <x:v>46297</x:v>
      </x:c>
      <x:c r="T159" s="40" t="n">
        <x:v>1000</x:v>
      </x:c>
      <x:c r="U159" t="str">
        <x:v>INV300158</x:v>
      </x:c>
      <x:c r="V159" s="36" t="n">
        <x:v>46298</x:v>
      </x:c>
      <x:c r="W159" s="40" t="n">
        <x:v>1000</x:v>
      </x:c>
      <x:c r="X159" s="38" t="n">
        <x:v>333520</x:v>
      </x:c>
      <x:c r="Y159" t="str">
        <x:v>Pending Approval</x:v>
      </x:c>
      <x:c r="Z159" s="38" t="n">
        <x:f>ROUND(L159*O159,2)</x:f>
        <x:v>333520</x:v>
      </x:c>
      <x:c r="AA159" t="n">
        <x:f>IF(S159="","",S159-N159)</x:f>
        <x:v>5</x:v>
      </x:c>
      <x:c r="AB159" t="str">
        <x:f>IF(S159="","Open",IF(S159&lt;=R159,"On Time","Late"))</x:f>
        <x:v>On Time</x:v>
      </x:c>
      <x:c r="AC159" t="str">
        <x:f>IF(S159="","Open",IF(T159=L159,"Match","Mismatch"))</x:f>
        <x:v>Match</x:v>
      </x:c>
      <x:c r="AD159" t="str">
        <x:f>IF(V159="","Open",IF(ABS(X159-Z159)&lt;=1,"Match","Mismatch"))</x:f>
        <x:v>Match</x:v>
      </x:c>
      <x:c r="AE159" t="str">
        <x:f>IF(OR(AC159="Open",AD159="Open"),"Open",IF(AND(AC159="Match",AD159="Match",W159=T159),"Matched","Exception"))</x:f>
        <x:v>Matched</x:v>
      </x:c>
      <x:c r="AF159" s="40" t="n">
        <x:f>MAX(L159-T159,0)</x:f>
        <x:v>0</x:v>
      </x:c>
    </x:row>
    <x:row r="160">
      <x:c r="A160" t="str">
        <x:v>PR100159</x:v>
      </x:c>
      <x:c r="B160" s="36" t="n">
        <x:v>46104</x:v>
      </x:c>
      <x:c r="C160" t="str">
        <x:v>Operations</x:v>
      </x:c>
      <x:c r="D160" t="str">
        <x:v>PRJ-002</x:v>
      </x:c>
      <x:c r="E160" t="str">
        <x:v>MAT013</x:v>
      </x:c>
      <x:c r="F160" t="str">
        <x:v>CPVC Pipe 25mm</x:v>
      </x:c>
      <x:c r="G160" t="str">
        <x:v>Plumbing</x:v>
      </x:c>
      <x:c r="H160" t="str">
        <x:v>M</x:v>
      </x:c>
      <x:c r="I160" t="str">
        <x:v>SUP005</x:v>
      </x:c>
      <x:c r="J160" t="str">
        <x:v>AquaFlow Pipes &amp; Fittings</x:v>
      </x:c>
      <x:c r="K160" t="str">
        <x:v>Telangana</x:v>
      </x:c>
      <x:c r="L160" s="40" t="n">
        <x:v>250</x:v>
      </x:c>
      <x:c r="M160" t="str">
        <x:v>PO200159</x:v>
      </x:c>
      <x:c r="N160" s="36" t="n">
        <x:v>46105</x:v>
      </x:c>
      <x:c r="O160" s="38" t="n">
        <x:v>167.88</x:v>
      </x:c>
      <x:c r="P160" t="str">
        <x:v>30 Days</x:v>
      </x:c>
      <x:c r="Q160" t="str">
        <x:v>S. Kumar</x:v>
      </x:c>
      <x:c r="R160" s="36" t="n">
        <x:v>46109</x:v>
      </x:c>
      <x:c r="S160" s="36" t="n">
        <x:v>46109</x:v>
      </x:c>
      <x:c r="T160" s="40" t="n">
        <x:v>250</x:v>
      </x:c>
      <x:c r="U160" t="str">
        <x:v>INV300159</x:v>
      </x:c>
      <x:c r="V160" s="36" t="n">
        <x:v>46110</x:v>
      </x:c>
      <x:c r="W160" s="40" t="n">
        <x:v>250</x:v>
      </x:c>
      <x:c r="X160" s="38" t="n">
        <x:v>41970</x:v>
      </x:c>
      <x:c r="Y160" t="str">
        <x:v>Paid</x:v>
      </x:c>
      <x:c r="Z160" s="38" t="n">
        <x:f>ROUND(L160*O160,2)</x:f>
        <x:v>41970</x:v>
      </x:c>
      <x:c r="AA160" t="n">
        <x:f>IF(S160="","",S160-N160)</x:f>
        <x:v>4</x:v>
      </x:c>
      <x:c r="AB160" t="str">
        <x:f>IF(S160="","Open",IF(S160&lt;=R160,"On Time","Late"))</x:f>
        <x:v>On Time</x:v>
      </x:c>
      <x:c r="AC160" t="str">
        <x:f>IF(S160="","Open",IF(T160=L160,"Match","Mismatch"))</x:f>
        <x:v>Match</x:v>
      </x:c>
      <x:c r="AD160" t="str">
        <x:f>IF(V160="","Open",IF(ABS(X160-Z160)&lt;=1,"Match","Mismatch"))</x:f>
        <x:v>Match</x:v>
      </x:c>
      <x:c r="AE160" t="str">
        <x:f>IF(OR(AC160="Open",AD160="Open"),"Open",IF(AND(AC160="Match",AD160="Match",W160=T160),"Matched","Exception"))</x:f>
        <x:v>Matched</x:v>
      </x:c>
      <x:c r="AF160" s="40" t="n">
        <x:f>MAX(L160-T160,0)</x:f>
        <x:v>0</x:v>
      </x:c>
    </x:row>
    <x:row r="161">
      <x:c r="A161" t="str">
        <x:v>PR100160</x:v>
      </x:c>
      <x:c r="B161" s="36" t="n">
        <x:v>46057</x:v>
      </x:c>
      <x:c r="C161" t="str">
        <x:v>Maintenance</x:v>
      </x:c>
      <x:c r="D161" t="str">
        <x:v>PRJ-002</x:v>
      </x:c>
      <x:c r="E161" t="str">
        <x:v>MAT027</x:v>
      </x:c>
      <x:c r="F161" t="str">
        <x:v>Wall Putty 20kg</x:v>
      </x:c>
      <x:c r="G161" t="str">
        <x:v>Finishes</x:v>
      </x:c>
      <x:c r="H161" t="str">
        <x:v>BAG</x:v>
      </x:c>
      <x:c r="I161" t="str">
        <x:v>SUP011</x:v>
      </x:c>
      <x:c r="J161" t="str">
        <x:v>Vertex Industrial Supply</x:v>
      </x:c>
      <x:c r="K161" t="str">
        <x:v>Maharashtra</x:v>
      </x:c>
      <x:c r="L161" s="40" t="n">
        <x:v>10</x:v>
      </x:c>
      <x:c r="M161" t="str">
        <x:v>PO200160</x:v>
      </x:c>
      <x:c r="N161" s="36" t="n">
        <x:v>46059</x:v>
      </x:c>
      <x:c r="O161" s="38" t="n">
        <x:v>846.95</x:v>
      </x:c>
      <x:c r="P161" t="str">
        <x:v>60 Days</x:v>
      </x:c>
      <x:c r="Q161" t="str">
        <x:v>A. Reddy</x:v>
      </x:c>
      <x:c r="R161" s="36" t="n">
        <x:v>46064</x:v>
      </x:c>
      <x:c r="S161" s="36" t="n">
        <x:v>46062</x:v>
      </x:c>
      <x:c r="T161" s="40" t="n">
        <x:v>10</x:v>
      </x:c>
      <x:c r="U161" t="str">
        <x:v>INV300160</x:v>
      </x:c>
      <x:c r="V161" s="36" t="n">
        <x:v>46068</x:v>
      </x:c>
      <x:c r="W161" s="40" t="n">
        <x:v>10</x:v>
      </x:c>
      <x:c r="X161" s="38" t="n">
        <x:v>8469.5</x:v>
      </x:c>
      <x:c r="Y161" t="str">
        <x:v>Paid</x:v>
      </x:c>
      <x:c r="Z161" s="38" t="n">
        <x:f>ROUND(L161*O161,2)</x:f>
        <x:v>8469.5</x:v>
      </x:c>
      <x:c r="AA161" t="n">
        <x:f>IF(S161="","",S161-N161)</x:f>
        <x:v>3</x:v>
      </x:c>
      <x:c r="AB161" t="str">
        <x:f>IF(S161="","Open",IF(S161&lt;=R161,"On Time","Late"))</x:f>
        <x:v>On Time</x:v>
      </x:c>
      <x:c r="AC161" t="str">
        <x:f>IF(S161="","Open",IF(T161=L161,"Match","Mismatch"))</x:f>
        <x:v>Match</x:v>
      </x:c>
      <x:c r="AD161" t="str">
        <x:f>IF(V161="","Open",IF(ABS(X161-Z161)&lt;=1,"Match","Mismatch"))</x:f>
        <x:v>Match</x:v>
      </x:c>
      <x:c r="AE161" t="str">
        <x:f>IF(OR(AC161="Open",AD161="Open"),"Open",IF(AND(AC161="Match",AD161="Match",W161=T161),"Matched","Exception"))</x:f>
        <x:v>Matched</x:v>
      </x:c>
      <x:c r="AF161" s="40" t="n">
        <x:f>MAX(L161-T161,0)</x:f>
        <x:v>0</x:v>
      </x:c>
    </x:row>
    <x:row r="162">
      <x:c r="A162" t="str">
        <x:v>PR100161</x:v>
      </x:c>
      <x:c r="B162" s="36" t="n">
        <x:v>46148</x:v>
      </x:c>
      <x:c r="C162" t="str">
        <x:v>Civil Projects</x:v>
      </x:c>
      <x:c r="D162" t="str">
        <x:v>PRJ-003</x:v>
      </x:c>
      <x:c r="E162" t="str">
        <x:v>MAT028</x:v>
      </x:c>
      <x:c r="F162" t="str">
        <x:v>Exterior Paint 20L</x:v>
      </x:c>
      <x:c r="G162" t="str">
        <x:v>Finishes</x:v>
      </x:c>
      <x:c r="H162" t="str">
        <x:v>CAN</x:v>
      </x:c>
      <x:c r="I162" t="str">
        <x:v>SUP010</x:v>
      </x:c>
      <x:c r="J162" t="str">
        <x:v>Urban Infra Materials</x:v>
      </x:c>
      <x:c r="K162" t="str">
        <x:v>Karnataka</x:v>
      </x:c>
      <x:c r="L162" s="40" t="n">
        <x:v>50</x:v>
      </x:c>
      <x:c r="M162" t="str">
        <x:v>PO200161</x:v>
      </x:c>
      <x:c r="N162" s="36" t="n">
        <x:v>46151</x:v>
      </x:c>
      <x:c r="O162" s="38" t="n">
        <x:v>4292.42</x:v>
      </x:c>
      <x:c r="P162" t="str">
        <x:v>30 Days</x:v>
      </x:c>
      <x:c r="Q162" t="str">
        <x:v>S. Kumar</x:v>
      </x:c>
      <x:c r="R162" s="36" t="n">
        <x:v>46168</x:v>
      </x:c>
      <x:c r="S162" s="36" t="n">
        <x:v>46166</x:v>
      </x:c>
      <x:c r="T162" s="40" t="n">
        <x:v>50</x:v>
      </x:c>
      <x:c r="U162" t="str">
        <x:v>INV300161</x:v>
      </x:c>
      <x:c r="V162" s="36" t="n">
        <x:v>46169</x:v>
      </x:c>
      <x:c r="W162" s="40" t="n">
        <x:v>50</x:v>
      </x:c>
      <x:c r="X162" s="38" t="n">
        <x:v>214621</x:v>
      </x:c>
      <x:c r="Y162" t="str">
        <x:v>Paid</x:v>
      </x:c>
      <x:c r="Z162" s="38" t="n">
        <x:f>ROUND(L162*O162,2)</x:f>
        <x:v>214621</x:v>
      </x:c>
      <x:c r="AA162" t="n">
        <x:f>IF(S162="","",S162-N162)</x:f>
        <x:v>15</x:v>
      </x:c>
      <x:c r="AB162" t="str">
        <x:f>IF(S162="","Open",IF(S162&lt;=R162,"On Time","Late"))</x:f>
        <x:v>On Time</x:v>
      </x:c>
      <x:c r="AC162" t="str">
        <x:f>IF(S162="","Open",IF(T162=L162,"Match","Mismatch"))</x:f>
        <x:v>Match</x:v>
      </x:c>
      <x:c r="AD162" t="str">
        <x:f>IF(V162="","Open",IF(ABS(X162-Z162)&lt;=1,"Match","Mismatch"))</x:f>
        <x:v>Match</x:v>
      </x:c>
      <x:c r="AE162" t="str">
        <x:f>IF(OR(AC162="Open",AD162="Open"),"Open",IF(AND(AC162="Match",AD162="Match",W162=T162),"Matched","Exception"))</x:f>
        <x:v>Matched</x:v>
      </x:c>
      <x:c r="AF162" s="40" t="n">
        <x:f>MAX(L162-T162,0)</x:f>
        <x:v>0</x:v>
      </x:c>
    </x:row>
    <x:row r="163">
      <x:c r="A163" t="str">
        <x:v>PR100162</x:v>
      </x:c>
      <x:c r="B163" s="36" t="n">
        <x:v>46187</x:v>
      </x:c>
      <x:c r="C163" t="str">
        <x:v>Civil Projects</x:v>
      </x:c>
      <x:c r="D163" t="str">
        <x:v>PRJ-004</x:v>
      </x:c>
      <x:c r="E163" t="str">
        <x:v>MAT029</x:v>
      </x:c>
      <x:c r="F163" t="str">
        <x:v>Ceramic Floor Tile</x:v>
      </x:c>
      <x:c r="G163" t="str">
        <x:v>Finishes</x:v>
      </x:c>
      <x:c r="H163" t="str">
        <x:v>SQM</x:v>
      </x:c>
      <x:c r="I163" t="str">
        <x:v>SUP011</x:v>
      </x:c>
      <x:c r="J163" t="str">
        <x:v>Vertex Industrial Supply</x:v>
      </x:c>
      <x:c r="K163" t="str">
        <x:v>Maharashtra</x:v>
      </x:c>
      <x:c r="L163" s="40" t="n">
        <x:v>20</x:v>
      </x:c>
      <x:c r="M163" t="str">
        <x:v>PO200162</x:v>
      </x:c>
      <x:c r="N163" s="36" t="n">
        <x:v>46190</x:v>
      </x:c>
      <x:c r="O163" s="38" t="n">
        <x:v>743.67</x:v>
      </x:c>
      <x:c r="P163" t="str">
        <x:v>45 Days</x:v>
      </x:c>
      <x:c r="Q163" t="str">
        <x:v>S. Kumar</x:v>
      </x:c>
      <x:c r="R163" s="36" t="n">
        <x:v>46202</x:v>
      </x:c>
      <x:c r="S163" s="36" t="n">
        <x:v>46200</x:v>
      </x:c>
      <x:c r="T163" s="40" t="n">
        <x:v>20</x:v>
      </x:c>
      <x:c r="U163" t="str">
        <x:v>INV300162</x:v>
      </x:c>
      <x:c r="V163" s="36" t="n">
        <x:v>46201</x:v>
      </x:c>
      <x:c r="W163" s="40" t="n">
        <x:v>20</x:v>
      </x:c>
      <x:c r="X163" s="38" t="n">
        <x:v>14873.4</x:v>
      </x:c>
      <x:c r="Y163" t="str">
        <x:v>Pending Approval</x:v>
      </x:c>
      <x:c r="Z163" s="38" t="n">
        <x:f>ROUND(L163*O163,2)</x:f>
        <x:v>14873.4</x:v>
      </x:c>
      <x:c r="AA163" t="n">
        <x:f>IF(S163="","",S163-N163)</x:f>
        <x:v>10</x:v>
      </x:c>
      <x:c r="AB163" t="str">
        <x:f>IF(S163="","Open",IF(S163&lt;=R163,"On Time","Late"))</x:f>
        <x:v>On Time</x:v>
      </x:c>
      <x:c r="AC163" t="str">
        <x:f>IF(S163="","Open",IF(T163=L163,"Match","Mismatch"))</x:f>
        <x:v>Match</x:v>
      </x:c>
      <x:c r="AD163" t="str">
        <x:f>IF(V163="","Open",IF(ABS(X163-Z163)&lt;=1,"Match","Mismatch"))</x:f>
        <x:v>Match</x:v>
      </x:c>
      <x:c r="AE163" t="str">
        <x:f>IF(OR(AC163="Open",AD163="Open"),"Open",IF(AND(AC163="Match",AD163="Match",W163=T163),"Matched","Exception"))</x:f>
        <x:v>Matched</x:v>
      </x:c>
      <x:c r="AF163" s="40" t="n">
        <x:f>MAX(L163-T163,0)</x:f>
        <x:v>0</x:v>
      </x:c>
    </x:row>
    <x:row r="164">
      <x:c r="A164" t="str">
        <x:v>PR100163</x:v>
      </x:c>
      <x:c r="B164" s="36" t="n">
        <x:v>46154</x:v>
      </x:c>
      <x:c r="C164" t="str">
        <x:v>Maintenance</x:v>
      </x:c>
      <x:c r="D164" t="str">
        <x:v>PRJ-002</x:v>
      </x:c>
      <x:c r="E164" t="str">
        <x:v>MAT006</x:v>
      </x:c>
      <x:c r="F164" t="str">
        <x:v>Structural Steel Angle</x:v>
      </x:c>
      <x:c r="G164" t="str">
        <x:v>Steel</x:v>
      </x:c>
      <x:c r="H164" t="str">
        <x:v>KG</x:v>
      </x:c>
      <x:c r="I164" t="str">
        <x:v>SUP011</x:v>
      </x:c>
      <x:c r="J164" t="str">
        <x:v>Vertex Industrial Supply</x:v>
      </x:c>
      <x:c r="K164" t="str">
        <x:v>Maharashtra</x:v>
      </x:c>
      <x:c r="L164" s="40" t="n">
        <x:v>100</x:v>
      </x:c>
      <x:c r="M164" t="str">
        <x:v>PO200163</x:v>
      </x:c>
      <x:c r="N164" s="36" t="n">
        <x:v>46157</x:v>
      </x:c>
      <x:c r="O164" s="38" t="n">
        <x:v>81.27</x:v>
      </x:c>
      <x:c r="P164" t="str">
        <x:v>30 Days</x:v>
      </x:c>
      <x:c r="Q164" t="str">
        <x:v>A. Reddy</x:v>
      </x:c>
      <x:c r="R164" s="36" t="n">
        <x:v>46169</x:v>
      </x:c>
      <x:c r="S164" s="36" t="n">
        <x:v>46169</x:v>
      </x:c>
      <x:c r="T164" s="40" t="n">
        <x:v>100</x:v>
      </x:c>
      <x:c r="U164" t="str">
        <x:v>INV300163</x:v>
      </x:c>
      <x:c r="V164" s="36" t="n">
        <x:v>46176</x:v>
      </x:c>
      <x:c r="W164" s="40" t="n">
        <x:v>100</x:v>
      </x:c>
      <x:c r="X164" s="38" t="n">
        <x:v>8127</x:v>
      </x:c>
      <x:c r="Y164" t="str">
        <x:v>Paid</x:v>
      </x:c>
      <x:c r="Z164" s="38" t="n">
        <x:f>ROUND(L164*O164,2)</x:f>
        <x:v>8127</x:v>
      </x:c>
      <x:c r="AA164" t="n">
        <x:f>IF(S164="","",S164-N164)</x:f>
        <x:v>12</x:v>
      </x:c>
      <x:c r="AB164" t="str">
        <x:f>IF(S164="","Open",IF(S164&lt;=R164,"On Time","Late"))</x:f>
        <x:v>On Time</x:v>
      </x:c>
      <x:c r="AC164" t="str">
        <x:f>IF(S164="","Open",IF(T164=L164,"Match","Mismatch"))</x:f>
        <x:v>Match</x:v>
      </x:c>
      <x:c r="AD164" t="str">
        <x:f>IF(V164="","Open",IF(ABS(X164-Z164)&lt;=1,"Match","Mismatch"))</x:f>
        <x:v>Match</x:v>
      </x:c>
      <x:c r="AE164" t="str">
        <x:f>IF(OR(AC164="Open",AD164="Open"),"Open",IF(AND(AC164="Match",AD164="Match",W164=T164),"Matched","Exception"))</x:f>
        <x:v>Matched</x:v>
      </x:c>
      <x:c r="AF164" s="40" t="n">
        <x:f>MAX(L164-T164,0)</x:f>
        <x:v>0</x:v>
      </x:c>
    </x:row>
    <x:row r="165">
      <x:c r="A165" t="str">
        <x:v>PR100164</x:v>
      </x:c>
      <x:c r="B165" s="36" t="n">
        <x:v>46140</x:v>
      </x:c>
      <x:c r="C165" t="str">
        <x:v>Facilities</x:v>
      </x:c>
      <x:c r="D165" t="str">
        <x:v>PRJ-002</x:v>
      </x:c>
      <x:c r="E165" t="str">
        <x:v>MAT001</x:v>
      </x:c>
      <x:c r="F165" t="str">
        <x:v>OPC Cement 50kg</x:v>
      </x:c>
      <x:c r="G165" t="str">
        <x:v>Cement &amp; Concrete</x:v>
      </x:c>
      <x:c r="H165" t="str">
        <x:v>BAG</x:v>
      </x:c>
      <x:c r="I165" t="str">
        <x:v>SUP001</x:v>
      </x:c>
      <x:c r="J165" t="str">
        <x:v>Deccan Cement Supplies</x:v>
      </x:c>
      <x:c r="K165" t="str">
        <x:v>Telangana</x:v>
      </x:c>
      <x:c r="L165" s="40" t="n">
        <x:v>75</x:v>
      </x:c>
      <x:c r="M165" t="str">
        <x:v>PO200164</x:v>
      </x:c>
      <x:c r="N165" s="36" t="n">
        <x:v>46141</x:v>
      </x:c>
      <x:c r="O165" s="38" t="n">
        <x:v>360.26</x:v>
      </x:c>
      <x:c r="P165" t="str">
        <x:v>45 Days</x:v>
      </x:c>
      <x:c r="Q165" t="str">
        <x:v>A. Reddy</x:v>
      </x:c>
      <x:c r="R165" s="36" t="n">
        <x:v>46158</x:v>
      </x:c>
      <x:c r="S165" s="36" t="n">
        <x:v>46156</x:v>
      </x:c>
      <x:c r="T165" s="40" t="n">
        <x:v>75</x:v>
      </x:c>
      <x:c r="U165" t="str">
        <x:v>INV300164</x:v>
      </x:c>
      <x:c r="V165" s="36" t="n">
        <x:v>46157</x:v>
      </x:c>
      <x:c r="W165" s="40" t="n">
        <x:v>74</x:v>
      </x:c>
      <x:c r="X165" s="38" t="n">
        <x:v>27019.5</x:v>
      </x:c>
      <x:c r="Y165" t="str">
        <x:v>Paid</x:v>
      </x:c>
      <x:c r="Z165" s="38" t="n">
        <x:f>ROUND(L165*O165,2)</x:f>
        <x:v>27019.5</x:v>
      </x:c>
      <x:c r="AA165" t="n">
        <x:f>IF(S165="","",S165-N165)</x:f>
        <x:v>15</x:v>
      </x:c>
      <x:c r="AB165" t="str">
        <x:f>IF(S165="","Open",IF(S165&lt;=R165,"On Time","Late"))</x:f>
        <x:v>On Time</x:v>
      </x:c>
      <x:c r="AC165" t="str">
        <x:f>IF(S165="","Open",IF(T165=L165,"Match","Mismatch"))</x:f>
        <x:v>Match</x:v>
      </x:c>
      <x:c r="AD165" t="str">
        <x:f>IF(V165="","Open",IF(ABS(X165-Z165)&lt;=1,"Match","Mismatch"))</x:f>
        <x:v>Match</x:v>
      </x:c>
      <x:c r="AE165" t="str">
        <x:f>IF(OR(AC165="Open",AD165="Open"),"Open",IF(AND(AC165="Match",AD165="Match",W165=T165),"Matched","Exception"))</x:f>
        <x:v>Exception</x:v>
      </x:c>
      <x:c r="AF165" s="40" t="n">
        <x:f>MAX(L165-T165,0)</x:f>
        <x:v>0</x:v>
      </x:c>
    </x:row>
    <x:row r="166">
      <x:c r="A166" t="str">
        <x:v>PR100165</x:v>
      </x:c>
      <x:c r="B166" s="36" t="n">
        <x:v>46052</x:v>
      </x:c>
      <x:c r="C166" t="str">
        <x:v>Facilities</x:v>
      </x:c>
      <x:c r="D166" t="str">
        <x:v>PRJ-005</x:v>
      </x:c>
      <x:c r="E166" t="str">
        <x:v>MAT003</x:v>
      </x:c>
      <x:c r="F166" t="str">
        <x:v>Ready Mix Concrete M25</x:v>
      </x:c>
      <x:c r="G166" t="str">
        <x:v>Cement &amp; Concrete</x:v>
      </x:c>
      <x:c r="H166" t="str">
        <x:v>M3</x:v>
      </x:c>
      <x:c r="I166" t="str">
        <x:v>SUP003</x:v>
      </x:c>
      <x:c r="J166" t="str">
        <x:v>BuildRight Aggregates</x:v>
      </x:c>
      <x:c r="K166" t="str">
        <x:v>Telangana</x:v>
      </x:c>
      <x:c r="L166" s="40" t="n">
        <x:v>25</x:v>
      </x:c>
      <x:c r="M166" t="str">
        <x:v>PO200165</x:v>
      </x:c>
      <x:c r="N166" s="36" t="n">
        <x:v>46055</x:v>
      </x:c>
      <x:c r="O166" s="38" t="n">
        <x:v>5248.37</x:v>
      </x:c>
      <x:c r="P166" t="str">
        <x:v>45 Days</x:v>
      </x:c>
      <x:c r="Q166" t="str">
        <x:v>R. Sharma</x:v>
      </x:c>
      <x:c r="R166" s="36" t="n">
        <x:v>46065</x:v>
      </x:c>
      <x:c r="S166" s="36" t="n">
        <x:v>46063</x:v>
      </x:c>
      <x:c r="T166" s="40" t="n">
        <x:v>25</x:v>
      </x:c>
      <x:c r="U166" t="str">
        <x:v>INV300165</x:v>
      </x:c>
      <x:c r="V166" s="36" t="n">
        <x:v>46065</x:v>
      </x:c>
      <x:c r="W166" s="40" t="n">
        <x:v>25</x:v>
      </x:c>
      <x:c r="X166" s="38" t="n">
        <x:v>131209.25</x:v>
      </x:c>
      <x:c r="Y166" t="str">
        <x:v>Paid</x:v>
      </x:c>
      <x:c r="Z166" s="38" t="n">
        <x:f>ROUND(L166*O166,2)</x:f>
        <x:v>131209.25</x:v>
      </x:c>
      <x:c r="AA166" t="n">
        <x:f>IF(S166="","",S166-N166)</x:f>
        <x:v>8</x:v>
      </x:c>
      <x:c r="AB166" t="str">
        <x:f>IF(S166="","Open",IF(S166&lt;=R166,"On Time","Late"))</x:f>
        <x:v>On Time</x:v>
      </x:c>
      <x:c r="AC166" t="str">
        <x:f>IF(S166="","Open",IF(T166=L166,"Match","Mismatch"))</x:f>
        <x:v>Match</x:v>
      </x:c>
      <x:c r="AD166" t="str">
        <x:f>IF(V166="","Open",IF(ABS(X166-Z166)&lt;=1,"Match","Mismatch"))</x:f>
        <x:v>Match</x:v>
      </x:c>
      <x:c r="AE166" t="str">
        <x:f>IF(OR(AC166="Open",AD166="Open"),"Open",IF(AND(AC166="Match",AD166="Match",W166=T166),"Matched","Exception"))</x:f>
        <x:v>Matched</x:v>
      </x:c>
      <x:c r="AF166" s="40" t="n">
        <x:f>MAX(L166-T166,0)</x:f>
        <x:v>0</x:v>
      </x:c>
    </x:row>
    <x:row r="167">
      <x:c r="A167" t="str">
        <x:v>PR100166</x:v>
      </x:c>
      <x:c r="B167" s="36" t="n">
        <x:v>46058</x:v>
      </x:c>
      <x:c r="C167" t="str">
        <x:v>Operations</x:v>
      </x:c>
      <x:c r="D167" t="str">
        <x:v>PRJ-008</x:v>
      </x:c>
      <x:c r="E167" t="str">
        <x:v>MAT036</x:v>
      </x:c>
      <x:c r="F167" t="str">
        <x:v>Cutting Disc 4 inch</x:v>
      </x:c>
      <x:c r="G167" t="str">
        <x:v>Consumables</x:v>
      </x:c>
      <x:c r="H167" t="str">
        <x:v>EA</x:v>
      </x:c>
      <x:c r="I167" t="str">
        <x:v>SUP009</x:v>
      </x:c>
      <x:c r="J167" t="str">
        <x:v>Nava Bharat Hardware</x:v>
      </x:c>
      <x:c r="K167" t="str">
        <x:v>Andhra Pradesh</x:v>
      </x:c>
      <x:c r="L167" s="40" t="n">
        <x:v>25</x:v>
      </x:c>
      <x:c r="M167" t="str">
        <x:v>PO200166</x:v>
      </x:c>
      <x:c r="N167" s="36" t="n">
        <x:v>46060</x:v>
      </x:c>
      <x:c r="O167" s="38" t="n">
        <x:v>47.78</x:v>
      </x:c>
      <x:c r="P167" t="str">
        <x:v>60 Days</x:v>
      </x:c>
      <x:c r="Q167" t="str">
        <x:v>R. Sharma</x:v>
      </x:c>
      <x:c r="R167" s="36" t="n">
        <x:v>46070</x:v>
      </x:c>
      <x:c r="S167" s="36" t="n">
        <x:v>46069</x:v>
      </x:c>
      <x:c r="T167" s="40" t="n">
        <x:v>25</x:v>
      </x:c>
      <x:c r="U167" t="str">
        <x:v>INV300166</x:v>
      </x:c>
      <x:c r="V167" s="36" t="n">
        <x:v>46076</x:v>
      </x:c>
      <x:c r="W167" s="40" t="n">
        <x:v>25</x:v>
      </x:c>
      <x:c r="X167" s="38" t="n">
        <x:v>1242.28</x:v>
      </x:c>
      <x:c r="Y167" t="str">
        <x:v>Pending Approval</x:v>
      </x:c>
      <x:c r="Z167" s="38" t="n">
        <x:f>ROUND(L167*O167,2)</x:f>
        <x:v>1194.5</x:v>
      </x:c>
      <x:c r="AA167" t="n">
        <x:f>IF(S167="","",S167-N167)</x:f>
        <x:v>9</x:v>
      </x:c>
      <x:c r="AB167" t="str">
        <x:f>IF(S167="","Open",IF(S167&lt;=R167,"On Time","Late"))</x:f>
        <x:v>On Time</x:v>
      </x:c>
      <x:c r="AC167" t="str">
        <x:f>IF(S167="","Open",IF(T167=L167,"Match","Mismatch"))</x:f>
        <x:v>Match</x:v>
      </x:c>
      <x:c r="AD167" t="str">
        <x:f>IF(V167="","Open",IF(ABS(X167-Z167)&lt;=1,"Match","Mismatch"))</x:f>
        <x:v>Mismatch</x:v>
      </x:c>
      <x:c r="AE167" t="str">
        <x:f>IF(OR(AC167="Open",AD167="Open"),"Open",IF(AND(AC167="Match",AD167="Match",W167=T167),"Matched","Exception"))</x:f>
        <x:v>Exception</x:v>
      </x:c>
      <x:c r="AF167" s="40" t="n">
        <x:f>MAX(L167-T167,0)</x:f>
        <x:v>0</x:v>
      </x:c>
    </x:row>
    <x:row r="168">
      <x:c r="A168" t="str">
        <x:v>PR100167</x:v>
      </x:c>
      <x:c r="B168" s="36" t="n">
        <x:v>46225</x:v>
      </x:c>
      <x:c r="C168" t="str">
        <x:v>Operations</x:v>
      </x:c>
      <x:c r="D168" t="str">
        <x:v>PRJ-001</x:v>
      </x:c>
      <x:c r="E168" t="str">
        <x:v>MAT023</x:v>
      </x:c>
      <x:c r="F168" t="str">
        <x:v>Measuring Tape 5m</x:v>
      </x:c>
      <x:c r="G168" t="str">
        <x:v>Tools</x:v>
      </x:c>
      <x:c r="H168" t="str">
        <x:v>EA</x:v>
      </x:c>
      <x:c r="I168" t="str">
        <x:v>SUP009</x:v>
      </x:c>
      <x:c r="J168" t="str">
        <x:v>Nava Bharat Hardware</x:v>
      </x:c>
      <x:c r="K168" t="str">
        <x:v>Andhra Pradesh</x:v>
      </x:c>
      <x:c r="L168" s="40" t="n">
        <x:v>50</x:v>
      </x:c>
      <x:c r="M168" t="str">
        <x:v>PO200167</x:v>
      </x:c>
      <x:c r="N168" s="36" t="n">
        <x:v>46227</x:v>
      </x:c>
      <x:c r="O168" s="38" t="n">
        <x:v>328.79</x:v>
      </x:c>
      <x:c r="P168" t="str">
        <x:v>45 Days</x:v>
      </x:c>
      <x:c r="Q168" t="str">
        <x:v>M. Priya</x:v>
      </x:c>
      <x:c r="R168" s="36" t="n">
        <x:v>46231</x:v>
      </x:c>
      <x:c r="S168" s="36"/>
      <x:c r="T168" s="40" t="n">
        <x:v>0</x:v>
      </x:c>
      <x:c r="U168" t="str"/>
      <x:c r="V168" s="36"/>
      <x:c r="W168" s="40" t="n">
        <x:v>0</x:v>
      </x:c>
      <x:c r="X168" s="38" t="str"/>
      <x:c r="Y168" t="str">
        <x:v>Open PO</x:v>
      </x:c>
      <x:c r="Z168" s="38" t="n">
        <x:f>ROUND(L168*O168,2)</x:f>
        <x:v>16439.5</x:v>
      </x:c>
      <x:c r="AA168" t="str">
        <x:f>IF(S168="","",S168-N168)</x:f>
      </x:c>
      <x:c r="AB168" t="str">
        <x:f>IF(S168="","Open",IF(S168&lt;=R168,"On Time","Late"))</x:f>
        <x:v>Open</x:v>
      </x:c>
      <x:c r="AC168" t="str">
        <x:f>IF(S168="","Open",IF(T168=L168,"Match","Mismatch"))</x:f>
        <x:v>Open</x:v>
      </x:c>
      <x:c r="AD168" t="str">
        <x:f>IF(V168="","Open",IF(ABS(X168-Z168)&lt;=1,"Match","Mismatch"))</x:f>
        <x:v>Open</x:v>
      </x:c>
      <x:c r="AE168" t="str">
        <x:f>IF(OR(AC168="Open",AD168="Open"),"Open",IF(AND(AC168="Match",AD168="Match",W168=T168),"Matched","Exception"))</x:f>
        <x:v>Open</x:v>
      </x:c>
      <x:c r="AF168" s="40" t="n">
        <x:f>MAX(L168-T168,0)</x:f>
        <x:v>50</x:v>
      </x:c>
    </x:row>
    <x:row r="169">
      <x:c r="A169" t="str">
        <x:v>PR100168</x:v>
      </x:c>
      <x:c r="B169" s="36" t="n">
        <x:v>46108</x:v>
      </x:c>
      <x:c r="C169" t="str">
        <x:v>Facilities</x:v>
      </x:c>
      <x:c r="D169" t="str">
        <x:v>PRJ-003</x:v>
      </x:c>
      <x:c r="E169" t="str">
        <x:v>MAT038</x:v>
      </x:c>
      <x:c r="F169" t="str">
        <x:v>Hex Bolt M12</x:v>
      </x:c>
      <x:c r="G169" t="str">
        <x:v>Hardware</x:v>
      </x:c>
      <x:c r="H169" t="str">
        <x:v>EA</x:v>
      </x:c>
      <x:c r="I169" t="str">
        <x:v>SUP009</x:v>
      </x:c>
      <x:c r="J169" t="str">
        <x:v>Nava Bharat Hardware</x:v>
      </x:c>
      <x:c r="K169" t="str">
        <x:v>Andhra Pradesh</x:v>
      </x:c>
      <x:c r="L169" s="40" t="n">
        <x:v>30</x:v>
      </x:c>
      <x:c r="M169" t="str">
        <x:v>PO200168</x:v>
      </x:c>
      <x:c r="N169" s="36" t="n">
        <x:v>46109</x:v>
      </x:c>
      <x:c r="O169" s="38" t="n">
        <x:v>21.3</x:v>
      </x:c>
      <x:c r="P169" t="str">
        <x:v>30 Days</x:v>
      </x:c>
      <x:c r="Q169" t="str">
        <x:v>M. Priya</x:v>
      </x:c>
      <x:c r="R169" s="36" t="n">
        <x:v>46123</x:v>
      </x:c>
      <x:c r="S169" s="36" t="n">
        <x:v>46123</x:v>
      </x:c>
      <x:c r="T169" s="40" t="n">
        <x:v>30</x:v>
      </x:c>
      <x:c r="U169" t="str">
        <x:v>INV300168</x:v>
      </x:c>
      <x:c r="V169" s="36" t="n">
        <x:v>46125</x:v>
      </x:c>
      <x:c r="W169" s="40" t="n">
        <x:v>30</x:v>
      </x:c>
      <x:c r="X169" s="38" t="n">
        <x:v>639</x:v>
      </x:c>
      <x:c r="Y169" t="str">
        <x:v>Paid</x:v>
      </x:c>
      <x:c r="Z169" s="38" t="n">
        <x:f>ROUND(L169*O169,2)</x:f>
        <x:v>639</x:v>
      </x:c>
      <x:c r="AA169" t="n">
        <x:f>IF(S169="","",S169-N169)</x:f>
        <x:v>14</x:v>
      </x:c>
      <x:c r="AB169" t="str">
        <x:f>IF(S169="","Open",IF(S169&lt;=R169,"On Time","Late"))</x:f>
        <x:v>On Time</x:v>
      </x:c>
      <x:c r="AC169" t="str">
        <x:f>IF(S169="","Open",IF(T169=L169,"Match","Mismatch"))</x:f>
        <x:v>Match</x:v>
      </x:c>
      <x:c r="AD169" t="str">
        <x:f>IF(V169="","Open",IF(ABS(X169-Z169)&lt;=1,"Match","Mismatch"))</x:f>
        <x:v>Match</x:v>
      </x:c>
      <x:c r="AE169" t="str">
        <x:f>IF(OR(AC169="Open",AD169="Open"),"Open",IF(AND(AC169="Match",AD169="Match",W169=T169),"Matched","Exception"))</x:f>
        <x:v>Matched</x:v>
      </x:c>
      <x:c r="AF169" s="40" t="n">
        <x:f>MAX(L169-T169,0)</x:f>
        <x:v>0</x:v>
      </x:c>
    </x:row>
    <x:row r="170">
      <x:c r="A170" t="str">
        <x:v>PR100169</x:v>
      </x:c>
      <x:c r="B170" s="36" t="n">
        <x:v>46207</x:v>
      </x:c>
      <x:c r="C170" t="str">
        <x:v>Facilities</x:v>
      </x:c>
      <x:c r="D170" t="str">
        <x:v>PRJ-006</x:v>
      </x:c>
      <x:c r="E170" t="str">
        <x:v>MAT023</x:v>
      </x:c>
      <x:c r="F170" t="str">
        <x:v>Measuring Tape 5m</x:v>
      </x:c>
      <x:c r="G170" t="str">
        <x:v>Tools</x:v>
      </x:c>
      <x:c r="H170" t="str">
        <x:v>EA</x:v>
      </x:c>
      <x:c r="I170" t="str">
        <x:v>SUP007</x:v>
      </x:c>
      <x:c r="J170" t="str">
        <x:v>Precision Tools India</x:v>
      </x:c>
      <x:c r="K170" t="str">
        <x:v>Telangana</x:v>
      </x:c>
      <x:c r="L170" s="40" t="n">
        <x:v>100</x:v>
      </x:c>
      <x:c r="M170" t="str">
        <x:v>PO200169</x:v>
      </x:c>
      <x:c r="N170" s="36" t="n">
        <x:v>46210</x:v>
      </x:c>
      <x:c r="O170" s="38" t="n">
        <x:v>325.63</x:v>
      </x:c>
      <x:c r="P170" t="str">
        <x:v>60 Days</x:v>
      </x:c>
      <x:c r="Q170" t="str">
        <x:v>S. Kumar</x:v>
      </x:c>
      <x:c r="R170" s="36" t="n">
        <x:v>46217</x:v>
      </x:c>
      <x:c r="S170" s="36" t="n">
        <x:v>46218</x:v>
      </x:c>
      <x:c r="T170" s="40" t="n">
        <x:v>100</x:v>
      </x:c>
      <x:c r="U170" t="str">
        <x:v>INV300169</x:v>
      </x:c>
      <x:c r="V170" s="36" t="n">
        <x:v>46220</x:v>
      </x:c>
      <x:c r="W170" s="40" t="n">
        <x:v>98</x:v>
      </x:c>
      <x:c r="X170" s="38" t="n">
        <x:v>34516.78</x:v>
      </x:c>
      <x:c r="Y170" t="str">
        <x:v>Paid</x:v>
      </x:c>
      <x:c r="Z170" s="38" t="n">
        <x:f>ROUND(L170*O170,2)</x:f>
        <x:v>32563</x:v>
      </x:c>
      <x:c r="AA170" t="n">
        <x:f>IF(S170="","",S170-N170)</x:f>
        <x:v>8</x:v>
      </x:c>
      <x:c r="AB170" t="str">
        <x:f>IF(S170="","Open",IF(S170&lt;=R170,"On Time","Late"))</x:f>
        <x:v>Late</x:v>
      </x:c>
      <x:c r="AC170" t="str">
        <x:f>IF(S170="","Open",IF(T170=L170,"Match","Mismatch"))</x:f>
        <x:v>Match</x:v>
      </x:c>
      <x:c r="AD170" t="str">
        <x:f>IF(V170="","Open",IF(ABS(X170-Z170)&lt;=1,"Match","Mismatch"))</x:f>
        <x:v>Mismatch</x:v>
      </x:c>
      <x:c r="AE170" t="str">
        <x:f>IF(OR(AC170="Open",AD170="Open"),"Open",IF(AND(AC170="Match",AD170="Match",W170=T170),"Matched","Exception"))</x:f>
        <x:v>Exception</x:v>
      </x:c>
      <x:c r="AF170" s="40" t="n">
        <x:f>MAX(L170-T170,0)</x:f>
        <x:v>0</x:v>
      </x:c>
    </x:row>
    <x:row r="171">
      <x:c r="A171" t="str">
        <x:v>PR100170</x:v>
      </x:c>
      <x:c r="B171" s="36" t="n">
        <x:v>46038</x:v>
      </x:c>
      <x:c r="C171" t="str">
        <x:v>Facilities</x:v>
      </x:c>
      <x:c r="D171" t="str">
        <x:v>PRJ-003</x:v>
      </x:c>
      <x:c r="E171" t="str">
        <x:v>MAT021</x:v>
      </x:c>
      <x:c r="F171" t="str">
        <x:v>Angle Grinder 100mm</x:v>
      </x:c>
      <x:c r="G171" t="str">
        <x:v>Tools</x:v>
      </x:c>
      <x:c r="H171" t="str">
        <x:v>EA</x:v>
      </x:c>
      <x:c r="I171" t="str">
        <x:v>SUP007</x:v>
      </x:c>
      <x:c r="J171" t="str">
        <x:v>Precision Tools India</x:v>
      </x:c>
      <x:c r="K171" t="str">
        <x:v>Telangana</x:v>
      </x:c>
      <x:c r="L171" s="40" t="n">
        <x:v>25</x:v>
      </x:c>
      <x:c r="M171" t="str">
        <x:v>PO200170</x:v>
      </x:c>
      <x:c r="N171" s="36" t="n">
        <x:v>46041</x:v>
      </x:c>
      <x:c r="O171" s="38" t="n">
        <x:v>3443</x:v>
      </x:c>
      <x:c r="P171" t="str">
        <x:v>60 Days</x:v>
      </x:c>
      <x:c r="Q171" t="str">
        <x:v>R. Sharma</x:v>
      </x:c>
      <x:c r="R171" s="36" t="n">
        <x:v>46056</x:v>
      </x:c>
      <x:c r="S171" s="36" t="n">
        <x:v>46056</x:v>
      </x:c>
      <x:c r="T171" s="40" t="n">
        <x:v>25</x:v>
      </x:c>
      <x:c r="U171" t="str">
        <x:v>INV300170</x:v>
      </x:c>
      <x:c r="V171" s="36" t="n">
        <x:v>46062</x:v>
      </x:c>
      <x:c r="W171" s="40" t="n">
        <x:v>25</x:v>
      </x:c>
      <x:c r="X171" s="38" t="n">
        <x:v>86075</x:v>
      </x:c>
      <x:c r="Y171" t="str">
        <x:v>Paid</x:v>
      </x:c>
      <x:c r="Z171" s="38" t="n">
        <x:f>ROUND(L171*O171,2)</x:f>
        <x:v>86075</x:v>
      </x:c>
      <x:c r="AA171" t="n">
        <x:f>IF(S171="","",S171-N171)</x:f>
        <x:v>15</x:v>
      </x:c>
      <x:c r="AB171" t="str">
        <x:f>IF(S171="","Open",IF(S171&lt;=R171,"On Time","Late"))</x:f>
        <x:v>On Time</x:v>
      </x:c>
      <x:c r="AC171" t="str">
        <x:f>IF(S171="","Open",IF(T171=L171,"Match","Mismatch"))</x:f>
        <x:v>Match</x:v>
      </x:c>
      <x:c r="AD171" t="str">
        <x:f>IF(V171="","Open",IF(ABS(X171-Z171)&lt;=1,"Match","Mismatch"))</x:f>
        <x:v>Match</x:v>
      </x:c>
      <x:c r="AE171" t="str">
        <x:f>IF(OR(AC171="Open",AD171="Open"),"Open",IF(AND(AC171="Match",AD171="Match",W171=T171),"Matched","Exception"))</x:f>
        <x:v>Matched</x:v>
      </x:c>
      <x:c r="AF171" s="40" t="n">
        <x:f>MAX(L171-T171,0)</x:f>
        <x:v>0</x:v>
      </x:c>
    </x:row>
    <x:row r="172">
      <x:c r="A172" t="str">
        <x:v>PR100171</x:v>
      </x:c>
      <x:c r="B172" s="36" t="n">
        <x:v>46116</x:v>
      </x:c>
      <x:c r="C172" t="str">
        <x:v>Civil Projects</x:v>
      </x:c>
      <x:c r="D172" t="str">
        <x:v>PRJ-003</x:v>
      </x:c>
      <x:c r="E172" t="str">
        <x:v>MAT032</x:v>
      </x:c>
      <x:c r="F172" t="str">
        <x:v>Printer Toner</x:v>
      </x:c>
      <x:c r="G172" t="str">
        <x:v>Office Supplies</x:v>
      </x:c>
      <x:c r="H172" t="str">
        <x:v>EA</x:v>
      </x:c>
      <x:c r="I172" t="str">
        <x:v>SUP008</x:v>
      </x:c>
      <x:c r="J172" t="str">
        <x:v>Prime Office Solutions</x:v>
      </x:c>
      <x:c r="K172" t="str">
        <x:v>Telangana</x:v>
      </x:c>
      <x:c r="L172" s="40" t="n">
        <x:v>200</x:v>
      </x:c>
      <x:c r="M172" t="str">
        <x:v>PO200171</x:v>
      </x:c>
      <x:c r="N172" s="36" t="n">
        <x:v>46118</x:v>
      </x:c>
      <x:c r="O172" s="38" t="n">
        <x:v>4959.7</x:v>
      </x:c>
      <x:c r="P172" t="str">
        <x:v>60 Days</x:v>
      </x:c>
      <x:c r="Q172" t="str">
        <x:v>M. Priya</x:v>
      </x:c>
      <x:c r="R172" s="36" t="n">
        <x:v>46132</x:v>
      </x:c>
      <x:c r="S172" s="36" t="n">
        <x:v>46130</x:v>
      </x:c>
      <x:c r="T172" s="40" t="n">
        <x:v>200</x:v>
      </x:c>
      <x:c r="U172" t="str">
        <x:v>INV300171</x:v>
      </x:c>
      <x:c r="V172" s="36" t="n">
        <x:v>46136</x:v>
      </x:c>
      <x:c r="W172" s="40" t="n">
        <x:v>195</x:v>
      </x:c>
      <x:c r="X172" s="38" t="n">
        <x:v>991940</x:v>
      </x:c>
      <x:c r="Y172" t="str">
        <x:v>Paid</x:v>
      </x:c>
      <x:c r="Z172" s="38" t="n">
        <x:f>ROUND(L172*O172,2)</x:f>
        <x:v>991940</x:v>
      </x:c>
      <x:c r="AA172" t="n">
        <x:f>IF(S172="","",S172-N172)</x:f>
        <x:v>12</x:v>
      </x:c>
      <x:c r="AB172" t="str">
        <x:f>IF(S172="","Open",IF(S172&lt;=R172,"On Time","Late"))</x:f>
        <x:v>On Time</x:v>
      </x:c>
      <x:c r="AC172" t="str">
        <x:f>IF(S172="","Open",IF(T172=L172,"Match","Mismatch"))</x:f>
        <x:v>Match</x:v>
      </x:c>
      <x:c r="AD172" t="str">
        <x:f>IF(V172="","Open",IF(ABS(X172-Z172)&lt;=1,"Match","Mismatch"))</x:f>
        <x:v>Match</x:v>
      </x:c>
      <x:c r="AE172" t="str">
        <x:f>IF(OR(AC172="Open",AD172="Open"),"Open",IF(AND(AC172="Match",AD172="Match",W172=T172),"Matched","Exception"))</x:f>
        <x:v>Exception</x:v>
      </x:c>
      <x:c r="AF172" s="40" t="n">
        <x:f>MAX(L172-T172,0)</x:f>
        <x:v>0</x:v>
      </x:c>
    </x:row>
    <x:row r="173">
      <x:c r="A173" t="str">
        <x:v>PR100172</x:v>
      </x:c>
      <x:c r="B173" s="36" t="n">
        <x:v>46080</x:v>
      </x:c>
      <x:c r="C173" t="str">
        <x:v>Operations</x:v>
      </x:c>
      <x:c r="D173" t="str">
        <x:v>PRJ-004</x:v>
      </x:c>
      <x:c r="E173" t="str">
        <x:v>MAT040</x:v>
      </x:c>
      <x:c r="F173" t="str">
        <x:v>SS Fastener Set</x:v>
      </x:c>
      <x:c r="G173" t="str">
        <x:v>Hardware</x:v>
      </x:c>
      <x:c r="H173" t="str">
        <x:v>SET</x:v>
      </x:c>
      <x:c r="I173" t="str">
        <x:v>SUP009</x:v>
      </x:c>
      <x:c r="J173" t="str">
        <x:v>Nava Bharat Hardware</x:v>
      </x:c>
      <x:c r="K173" t="str">
        <x:v>Andhra Pradesh</x:v>
      </x:c>
      <x:c r="L173" s="40" t="n">
        <x:v>20</x:v>
      </x:c>
      <x:c r="M173" t="str">
        <x:v>PO200172</x:v>
      </x:c>
      <x:c r="N173" s="36" t="n">
        <x:v>46084</x:v>
      </x:c>
      <x:c r="O173" s="38" t="n">
        <x:v>120.35</x:v>
      </x:c>
      <x:c r="P173" t="str">
        <x:v>30 Days</x:v>
      </x:c>
      <x:c r="Q173" t="str">
        <x:v>A. Reddy</x:v>
      </x:c>
      <x:c r="R173" s="36" t="n">
        <x:v>46093</x:v>
      </x:c>
      <x:c r="S173" s="36" t="n">
        <x:v>46095</x:v>
      </x:c>
      <x:c r="T173" s="40" t="n">
        <x:v>20</x:v>
      </x:c>
      <x:c r="U173" t="str">
        <x:v>INV300172</x:v>
      </x:c>
      <x:c r="V173" s="36" t="n">
        <x:v>46101</x:v>
      </x:c>
      <x:c r="W173" s="40" t="n">
        <x:v>20</x:v>
      </x:c>
      <x:c r="X173" s="38" t="n">
        <x:v>2407</x:v>
      </x:c>
      <x:c r="Y173" t="str">
        <x:v>Paid</x:v>
      </x:c>
      <x:c r="Z173" s="38" t="n">
        <x:f>ROUND(L173*O173,2)</x:f>
        <x:v>2407</x:v>
      </x:c>
      <x:c r="AA173" t="n">
        <x:f>IF(S173="","",S173-N173)</x:f>
        <x:v>11</x:v>
      </x:c>
      <x:c r="AB173" t="str">
        <x:f>IF(S173="","Open",IF(S173&lt;=R173,"On Time","Late"))</x:f>
        <x:v>Late</x:v>
      </x:c>
      <x:c r="AC173" t="str">
        <x:f>IF(S173="","Open",IF(T173=L173,"Match","Mismatch"))</x:f>
        <x:v>Match</x:v>
      </x:c>
      <x:c r="AD173" t="str">
        <x:f>IF(V173="","Open",IF(ABS(X173-Z173)&lt;=1,"Match","Mismatch"))</x:f>
        <x:v>Match</x:v>
      </x:c>
      <x:c r="AE173" t="str">
        <x:f>IF(OR(AC173="Open",AD173="Open"),"Open",IF(AND(AC173="Match",AD173="Match",W173=T173),"Matched","Exception"))</x:f>
        <x:v>Matched</x:v>
      </x:c>
      <x:c r="AF173" s="40" t="n">
        <x:f>MAX(L173-T173,0)</x:f>
        <x:v>0</x:v>
      </x:c>
    </x:row>
    <x:row r="174">
      <x:c r="A174" t="str">
        <x:v>PR100173</x:v>
      </x:c>
      <x:c r="B174" s="36" t="n">
        <x:v>46082</x:v>
      </x:c>
      <x:c r="C174" t="str">
        <x:v>Facilities</x:v>
      </x:c>
      <x:c r="D174" t="str">
        <x:v>PRJ-003</x:v>
      </x:c>
      <x:c r="E174" t="str">
        <x:v>MAT023</x:v>
      </x:c>
      <x:c r="F174" t="str">
        <x:v>Measuring Tape 5m</x:v>
      </x:c>
      <x:c r="G174" t="str">
        <x:v>Tools</x:v>
      </x:c>
      <x:c r="H174" t="str">
        <x:v>EA</x:v>
      </x:c>
      <x:c r="I174" t="str">
        <x:v>SUP009</x:v>
      </x:c>
      <x:c r="J174" t="str">
        <x:v>Nava Bharat Hardware</x:v>
      </x:c>
      <x:c r="K174" t="str">
        <x:v>Andhra Pradesh</x:v>
      </x:c>
      <x:c r="L174" s="40" t="n">
        <x:v>100</x:v>
      </x:c>
      <x:c r="M174" t="str">
        <x:v>PO200173</x:v>
      </x:c>
      <x:c r="N174" s="36" t="n">
        <x:v>46082</x:v>
      </x:c>
      <x:c r="O174" s="38" t="n">
        <x:v>336.6</x:v>
      </x:c>
      <x:c r="P174" t="str">
        <x:v>45 Days</x:v>
      </x:c>
      <x:c r="Q174" t="str">
        <x:v>A. Reddy</x:v>
      </x:c>
      <x:c r="R174" s="36" t="n">
        <x:v>46092</x:v>
      </x:c>
      <x:c r="S174" s="36" t="n">
        <x:v>46089</x:v>
      </x:c>
      <x:c r="T174" s="40" t="n">
        <x:v>100</x:v>
      </x:c>
      <x:c r="U174" t="str">
        <x:v>INV300173</x:v>
      </x:c>
      <x:c r="V174" s="36" t="n">
        <x:v>46092</x:v>
      </x:c>
      <x:c r="W174" s="40" t="n">
        <x:v>100</x:v>
      </x:c>
      <x:c r="X174" s="38" t="n">
        <x:v>33660</x:v>
      </x:c>
      <x:c r="Y174" t="str">
        <x:v>Paid</x:v>
      </x:c>
      <x:c r="Z174" s="38" t="n">
        <x:f>ROUND(L174*O174,2)</x:f>
        <x:v>33660</x:v>
      </x:c>
      <x:c r="AA174" t="n">
        <x:f>IF(S174="","",S174-N174)</x:f>
        <x:v>7</x:v>
      </x:c>
      <x:c r="AB174" t="str">
        <x:f>IF(S174="","Open",IF(S174&lt;=R174,"On Time","Late"))</x:f>
        <x:v>On Time</x:v>
      </x:c>
      <x:c r="AC174" t="str">
        <x:f>IF(S174="","Open",IF(T174=L174,"Match","Mismatch"))</x:f>
        <x:v>Match</x:v>
      </x:c>
      <x:c r="AD174" t="str">
        <x:f>IF(V174="","Open",IF(ABS(X174-Z174)&lt;=1,"Match","Mismatch"))</x:f>
        <x:v>Match</x:v>
      </x:c>
      <x:c r="AE174" t="str">
        <x:f>IF(OR(AC174="Open",AD174="Open"),"Open",IF(AND(AC174="Match",AD174="Match",W174=T174),"Matched","Exception"))</x:f>
        <x:v>Matched</x:v>
      </x:c>
      <x:c r="AF174" s="40" t="n">
        <x:f>MAX(L174-T174,0)</x:f>
        <x:v>0</x:v>
      </x:c>
    </x:row>
    <x:row r="175">
      <x:c r="A175" t="str">
        <x:v>PR100174</x:v>
      </x:c>
      <x:c r="B175" s="36" t="n">
        <x:v>46037</x:v>
      </x:c>
      <x:c r="C175" t="str">
        <x:v>Civil Projects</x:v>
      </x:c>
      <x:c r="D175" t="str">
        <x:v>PRJ-007</x:v>
      </x:c>
      <x:c r="E175" t="str">
        <x:v>MAT003</x:v>
      </x:c>
      <x:c r="F175" t="str">
        <x:v>Ready Mix Concrete M25</x:v>
      </x:c>
      <x:c r="G175" t="str">
        <x:v>Cement &amp; Concrete</x:v>
      </x:c>
      <x:c r="H175" t="str">
        <x:v>M3</x:v>
      </x:c>
      <x:c r="I175" t="str">
        <x:v>SUP003</x:v>
      </x:c>
      <x:c r="J175" t="str">
        <x:v>BuildRight Aggregates</x:v>
      </x:c>
      <x:c r="K175" t="str">
        <x:v>Telangana</x:v>
      </x:c>
      <x:c r="L175" s="40" t="n">
        <x:v>8</x:v>
      </x:c>
      <x:c r="M175" t="str">
        <x:v>PO200174</x:v>
      </x:c>
      <x:c r="N175" s="36" t="n">
        <x:v>46040</x:v>
      </x:c>
      <x:c r="O175" s="38" t="n">
        <x:v>5103.93</x:v>
      </x:c>
      <x:c r="P175" t="str">
        <x:v>60 Days</x:v>
      </x:c>
      <x:c r="Q175" t="str">
        <x:v>S. Kumar</x:v>
      </x:c>
      <x:c r="R175" s="36" t="n">
        <x:v>46045</x:v>
      </x:c>
      <x:c r="S175" s="36" t="n">
        <x:v>46047</x:v>
      </x:c>
      <x:c r="T175" s="40" t="n">
        <x:v>8</x:v>
      </x:c>
      <x:c r="U175" t="str">
        <x:v>INV300174</x:v>
      </x:c>
      <x:c r="V175" s="36" t="n">
        <x:v>46048</x:v>
      </x:c>
      <x:c r="W175" s="40" t="n">
        <x:v>8</x:v>
      </x:c>
      <x:c r="X175" s="38" t="n">
        <x:v>40831.44</x:v>
      </x:c>
      <x:c r="Y175" t="str">
        <x:v>Pending Approval</x:v>
      </x:c>
      <x:c r="Z175" s="38" t="n">
        <x:f>ROUND(L175*O175,2)</x:f>
        <x:v>40831.44</x:v>
      </x:c>
      <x:c r="AA175" t="n">
        <x:f>IF(S175="","",S175-N175)</x:f>
        <x:v>7</x:v>
      </x:c>
      <x:c r="AB175" t="str">
        <x:f>IF(S175="","Open",IF(S175&lt;=R175,"On Time","Late"))</x:f>
        <x:v>Late</x:v>
      </x:c>
      <x:c r="AC175" t="str">
        <x:f>IF(S175="","Open",IF(T175=L175,"Match","Mismatch"))</x:f>
        <x:v>Match</x:v>
      </x:c>
      <x:c r="AD175" t="str">
        <x:f>IF(V175="","Open",IF(ABS(X175-Z175)&lt;=1,"Match","Mismatch"))</x:f>
        <x:v>Match</x:v>
      </x:c>
      <x:c r="AE175" t="str">
        <x:f>IF(OR(AC175="Open",AD175="Open"),"Open",IF(AND(AC175="Match",AD175="Match",W175=T175),"Matched","Exception"))</x:f>
        <x:v>Matched</x:v>
      </x:c>
      <x:c r="AF175" s="40" t="n">
        <x:f>MAX(L175-T175,0)</x:f>
        <x:v>0</x:v>
      </x:c>
    </x:row>
    <x:row r="176">
      <x:c r="A176" t="str">
        <x:v>PR100175</x:v>
      </x:c>
      <x:c r="B176" s="36" t="n">
        <x:v>46107</x:v>
      </x:c>
      <x:c r="C176" t="str">
        <x:v>Maintenance</x:v>
      </x:c>
      <x:c r="D176" t="str">
        <x:v>PRJ-003</x:v>
      </x:c>
      <x:c r="E176" t="str">
        <x:v>MAT039</x:v>
      </x:c>
      <x:c r="F176" t="str">
        <x:v>Door Hinge SS</x:v>
      </x:c>
      <x:c r="G176" t="str">
        <x:v>Hardware</x:v>
      </x:c>
      <x:c r="H176" t="str">
        <x:v>PAIR</x:v>
      </x:c>
      <x:c r="I176" t="str">
        <x:v>SUP011</x:v>
      </x:c>
      <x:c r="J176" t="str">
        <x:v>Vertex Industrial Supply</x:v>
      </x:c>
      <x:c r="K176" t="str">
        <x:v>Maharashtra</x:v>
      </x:c>
      <x:c r="L176" s="40" t="n">
        <x:v>30</x:v>
      </x:c>
      <x:c r="M176" t="str">
        <x:v>PO200175</x:v>
      </x:c>
      <x:c r="N176" s="36" t="n">
        <x:v>46107</x:v>
      </x:c>
      <x:c r="O176" s="38" t="n">
        <x:v>416.25</x:v>
      </x:c>
      <x:c r="P176" t="str">
        <x:v>30 Days</x:v>
      </x:c>
      <x:c r="Q176" t="str">
        <x:v>M. Priya</x:v>
      </x:c>
      <x:c r="R176" s="36" t="n">
        <x:v>46116</x:v>
      </x:c>
      <x:c r="S176" s="36" t="n">
        <x:v>46114</x:v>
      </x:c>
      <x:c r="T176" s="40" t="n">
        <x:v>30</x:v>
      </x:c>
      <x:c r="U176" t="str">
        <x:v>INV300175</x:v>
      </x:c>
      <x:c r="V176" s="36" t="n">
        <x:v>46117</x:v>
      </x:c>
      <x:c r="W176" s="40" t="n">
        <x:v>30</x:v>
      </x:c>
      <x:c r="X176" s="38" t="n">
        <x:v>13236.75</x:v>
      </x:c>
      <x:c r="Y176" t="str">
        <x:v>Paid</x:v>
      </x:c>
      <x:c r="Z176" s="38" t="n">
        <x:f>ROUND(L176*O176,2)</x:f>
        <x:v>12487.5</x:v>
      </x:c>
      <x:c r="AA176" t="n">
        <x:f>IF(S176="","",S176-N176)</x:f>
        <x:v>7</x:v>
      </x:c>
      <x:c r="AB176" t="str">
        <x:f>IF(S176="","Open",IF(S176&lt;=R176,"On Time","Late"))</x:f>
        <x:v>On Time</x:v>
      </x:c>
      <x:c r="AC176" t="str">
        <x:f>IF(S176="","Open",IF(T176=L176,"Match","Mismatch"))</x:f>
        <x:v>Match</x:v>
      </x:c>
      <x:c r="AD176" t="str">
        <x:f>IF(V176="","Open",IF(ABS(X176-Z176)&lt;=1,"Match","Mismatch"))</x:f>
        <x:v>Mismatch</x:v>
      </x:c>
      <x:c r="AE176" t="str">
        <x:f>IF(OR(AC176="Open",AD176="Open"),"Open",IF(AND(AC176="Match",AD176="Match",W176=T176),"Matched","Exception"))</x:f>
        <x:v>Exception</x:v>
      </x:c>
      <x:c r="AF176" s="40" t="n">
        <x:f>MAX(L176-T176,0)</x:f>
        <x:v>0</x:v>
      </x:c>
    </x:row>
    <x:row r="177">
      <x:c r="A177" t="str">
        <x:v>PR100176</x:v>
      </x:c>
      <x:c r="B177" s="36" t="n">
        <x:v>46071</x:v>
      </x:c>
      <x:c r="C177" t="str">
        <x:v>Operations</x:v>
      </x:c>
      <x:c r="D177" t="str">
        <x:v>PRJ-002</x:v>
      </x:c>
      <x:c r="E177" t="str">
        <x:v>MAT001</x:v>
      </x:c>
      <x:c r="F177" t="str">
        <x:v>OPC Cement 50kg</x:v>
      </x:c>
      <x:c r="G177" t="str">
        <x:v>Cement &amp; Concrete</x:v>
      </x:c>
      <x:c r="H177" t="str">
        <x:v>BAG</x:v>
      </x:c>
      <x:c r="I177" t="str">
        <x:v>SUP003</x:v>
      </x:c>
      <x:c r="J177" t="str">
        <x:v>BuildRight Aggregates</x:v>
      </x:c>
      <x:c r="K177" t="str">
        <x:v>Telangana</x:v>
      </x:c>
      <x:c r="L177" s="40" t="n">
        <x:v>30</x:v>
      </x:c>
      <x:c r="M177" t="str">
        <x:v>PO200176</x:v>
      </x:c>
      <x:c r="N177" s="36" t="n">
        <x:v>46075</x:v>
      </x:c>
      <x:c r="O177" s="38" t="n">
        <x:v>342.17</x:v>
      </x:c>
      <x:c r="P177" t="str">
        <x:v>60 Days</x:v>
      </x:c>
      <x:c r="Q177" t="str">
        <x:v>R. Sharma</x:v>
      </x:c>
      <x:c r="R177" s="36" t="n">
        <x:v>46086</x:v>
      </x:c>
      <x:c r="S177" s="36" t="n">
        <x:v>46086</x:v>
      </x:c>
      <x:c r="T177" s="40" t="n">
        <x:v>30</x:v>
      </x:c>
      <x:c r="U177" t="str">
        <x:v>INV300176</x:v>
      </x:c>
      <x:c r="V177" s="36" t="n">
        <x:v>46087</x:v>
      </x:c>
      <x:c r="W177" s="40" t="n">
        <x:v>30</x:v>
      </x:c>
      <x:c r="X177" s="38" t="n">
        <x:v>10265.1</x:v>
      </x:c>
      <x:c r="Y177" t="str">
        <x:v>Paid</x:v>
      </x:c>
      <x:c r="Z177" s="38" t="n">
        <x:f>ROUND(L177*O177,2)</x:f>
        <x:v>10265.1</x:v>
      </x:c>
      <x:c r="AA177" t="n">
        <x:f>IF(S177="","",S177-N177)</x:f>
        <x:v>11</x:v>
      </x:c>
      <x:c r="AB177" t="str">
        <x:f>IF(S177="","Open",IF(S177&lt;=R177,"On Time","Late"))</x:f>
        <x:v>On Time</x:v>
      </x:c>
      <x:c r="AC177" t="str">
        <x:f>IF(S177="","Open",IF(T177=L177,"Match","Mismatch"))</x:f>
        <x:v>Match</x:v>
      </x:c>
      <x:c r="AD177" t="str">
        <x:f>IF(V177="","Open",IF(ABS(X177-Z177)&lt;=1,"Match","Mismatch"))</x:f>
        <x:v>Match</x:v>
      </x:c>
      <x:c r="AE177" t="str">
        <x:f>IF(OR(AC177="Open",AD177="Open"),"Open",IF(AND(AC177="Match",AD177="Match",W177=T177),"Matched","Exception"))</x:f>
        <x:v>Matched</x:v>
      </x:c>
      <x:c r="AF177" s="40" t="n">
        <x:f>MAX(L177-T177,0)</x:f>
        <x:v>0</x:v>
      </x:c>
    </x:row>
    <x:row r="178">
      <x:c r="A178" t="str">
        <x:v>PR100177</x:v>
      </x:c>
      <x:c r="B178" s="36" t="n">
        <x:v>46222</x:v>
      </x:c>
      <x:c r="C178" t="str">
        <x:v>Operations</x:v>
      </x:c>
      <x:c r="D178" t="str">
        <x:v>PRJ-007</x:v>
      </x:c>
      <x:c r="E178" t="str">
        <x:v>MAT012</x:v>
      </x:c>
      <x:c r="F178" t="str">
        <x:v>PVC Pipe 110mm</x:v>
      </x:c>
      <x:c r="G178" t="str">
        <x:v>Plumbing</x:v>
      </x:c>
      <x:c r="H178" t="str">
        <x:v>M</x:v>
      </x:c>
      <x:c r="I178" t="str">
        <x:v>SUP009</x:v>
      </x:c>
      <x:c r="J178" t="str">
        <x:v>Nava Bharat Hardware</x:v>
      </x:c>
      <x:c r="K178" t="str">
        <x:v>Andhra Pradesh</x:v>
      </x:c>
      <x:c r="L178" s="40" t="n">
        <x:v>100</x:v>
      </x:c>
      <x:c r="M178" t="str">
        <x:v>PO200177</x:v>
      </x:c>
      <x:c r="N178" s="36" t="n">
        <x:v>46224</x:v>
      </x:c>
      <x:c r="O178" s="38" t="n">
        <x:v>299.89</x:v>
      </x:c>
      <x:c r="P178" t="str">
        <x:v>60 Days</x:v>
      </x:c>
      <x:c r="Q178" t="str">
        <x:v>S. Kumar</x:v>
      </x:c>
      <x:c r="R178" s="36" t="n">
        <x:v>46235</x:v>
      </x:c>
      <x:c r="S178" s="36" t="n">
        <x:v>46233</x:v>
      </x:c>
      <x:c r="T178" s="40" t="n">
        <x:v>100</x:v>
      </x:c>
      <x:c r="U178" t="str">
        <x:v>INV300177</x:v>
      </x:c>
      <x:c r="V178" s="36" t="n">
        <x:v>46235</x:v>
      </x:c>
      <x:c r="W178" s="40" t="n">
        <x:v>100</x:v>
      </x:c>
      <x:c r="X178" s="38" t="n">
        <x:v>29989</x:v>
      </x:c>
      <x:c r="Y178" t="str">
        <x:v>Paid</x:v>
      </x:c>
      <x:c r="Z178" s="38" t="n">
        <x:f>ROUND(L178*O178,2)</x:f>
        <x:v>29989</x:v>
      </x:c>
      <x:c r="AA178" t="n">
        <x:f>IF(S178="","",S178-N178)</x:f>
        <x:v>9</x:v>
      </x:c>
      <x:c r="AB178" t="str">
        <x:f>IF(S178="","Open",IF(S178&lt;=R178,"On Time","Late"))</x:f>
        <x:v>On Time</x:v>
      </x:c>
      <x:c r="AC178" t="str">
        <x:f>IF(S178="","Open",IF(T178=L178,"Match","Mismatch"))</x:f>
        <x:v>Match</x:v>
      </x:c>
      <x:c r="AD178" t="str">
        <x:f>IF(V178="","Open",IF(ABS(X178-Z178)&lt;=1,"Match","Mismatch"))</x:f>
        <x:v>Match</x:v>
      </x:c>
      <x:c r="AE178" t="str">
        <x:f>IF(OR(AC178="Open",AD178="Open"),"Open",IF(AND(AC178="Match",AD178="Match",W178=T178),"Matched","Exception"))</x:f>
        <x:v>Matched</x:v>
      </x:c>
      <x:c r="AF178" s="40" t="n">
        <x:f>MAX(L178-T178,0)</x:f>
        <x:v>0</x:v>
      </x:c>
    </x:row>
    <x:row r="179">
      <x:c r="A179" t="str">
        <x:v>PR100178</x:v>
      </x:c>
      <x:c r="B179" s="36" t="n">
        <x:v>46225</x:v>
      </x:c>
      <x:c r="C179" t="str">
        <x:v>Facilities</x:v>
      </x:c>
      <x:c r="D179" t="str">
        <x:v>PRJ-002</x:v>
      </x:c>
      <x:c r="E179" t="str">
        <x:v>MAT036</x:v>
      </x:c>
      <x:c r="F179" t="str">
        <x:v>Cutting Disc 4 inch</x:v>
      </x:c>
      <x:c r="G179" t="str">
        <x:v>Consumables</x:v>
      </x:c>
      <x:c r="H179" t="str">
        <x:v>EA</x:v>
      </x:c>
      <x:c r="I179" t="str">
        <x:v>SUP007</x:v>
      </x:c>
      <x:c r="J179" t="str">
        <x:v>Precision Tools India</x:v>
      </x:c>
      <x:c r="K179" t="str">
        <x:v>Telangana</x:v>
      </x:c>
      <x:c r="L179" s="40" t="n">
        <x:v>100</x:v>
      </x:c>
      <x:c r="M179" t="str">
        <x:v>PO200178</x:v>
      </x:c>
      <x:c r="N179" s="36" t="n">
        <x:v>46230</x:v>
      </x:c>
      <x:c r="O179" s="38" t="n">
        <x:v>49.11</x:v>
      </x:c>
      <x:c r="P179" t="str">
        <x:v>45 Days</x:v>
      </x:c>
      <x:c r="Q179" t="str">
        <x:v>S. Kumar</x:v>
      </x:c>
      <x:c r="R179" s="36" t="n">
        <x:v>46244</x:v>
      </x:c>
      <x:c r="S179" s="36" t="n">
        <x:v>46241</x:v>
      </x:c>
      <x:c r="T179" s="40" t="n">
        <x:v>100</x:v>
      </x:c>
      <x:c r="U179" t="str">
        <x:v>INV300178</x:v>
      </x:c>
      <x:c r="V179" s="36" t="n">
        <x:v>46247</x:v>
      </x:c>
      <x:c r="W179" s="40" t="n">
        <x:v>95</x:v>
      </x:c>
      <x:c r="X179" s="38" t="n">
        <x:v>4911</x:v>
      </x:c>
      <x:c r="Y179" t="str">
        <x:v>Pending Approval</x:v>
      </x:c>
      <x:c r="Z179" s="38" t="n">
        <x:f>ROUND(L179*O179,2)</x:f>
        <x:v>4911</x:v>
      </x:c>
      <x:c r="AA179" t="n">
        <x:f>IF(S179="","",S179-N179)</x:f>
        <x:v>11</x:v>
      </x:c>
      <x:c r="AB179" t="str">
        <x:f>IF(S179="","Open",IF(S179&lt;=R179,"On Time","Late"))</x:f>
        <x:v>On Time</x:v>
      </x:c>
      <x:c r="AC179" t="str">
        <x:f>IF(S179="","Open",IF(T179=L179,"Match","Mismatch"))</x:f>
        <x:v>Match</x:v>
      </x:c>
      <x:c r="AD179" t="str">
        <x:f>IF(V179="","Open",IF(ABS(X179-Z179)&lt;=1,"Match","Mismatch"))</x:f>
        <x:v>Match</x:v>
      </x:c>
      <x:c r="AE179" t="str">
        <x:f>IF(OR(AC179="Open",AD179="Open"),"Open",IF(AND(AC179="Match",AD179="Match",W179=T179),"Matched","Exception"))</x:f>
        <x:v>Exception</x:v>
      </x:c>
      <x:c r="AF179" s="40" t="n">
        <x:f>MAX(L179-T179,0)</x:f>
        <x:v>0</x:v>
      </x:c>
    </x:row>
    <x:row r="180">
      <x:c r="A180" t="str">
        <x:v>PR100179</x:v>
      </x:c>
      <x:c r="B180" s="36" t="n">
        <x:v>46125</x:v>
      </x:c>
      <x:c r="C180" t="str">
        <x:v>Civil Projects</x:v>
      </x:c>
      <x:c r="D180" t="str">
        <x:v>PRJ-007</x:v>
      </x:c>
      <x:c r="E180" t="str">
        <x:v>MAT011</x:v>
      </x:c>
      <x:c r="F180" t="str">
        <x:v>Red Clay Brick</x:v>
      </x:c>
      <x:c r="G180" t="str">
        <x:v>Masonry</x:v>
      </x:c>
      <x:c r="H180" t="str">
        <x:v>EA</x:v>
      </x:c>
      <x:c r="I180" t="str">
        <x:v>SUP009</x:v>
      </x:c>
      <x:c r="J180" t="str">
        <x:v>Nava Bharat Hardware</x:v>
      </x:c>
      <x:c r="K180" t="str">
        <x:v>Andhra Pradesh</x:v>
      </x:c>
      <x:c r="L180" s="40" t="n">
        <x:v>20</x:v>
      </x:c>
      <x:c r="M180" t="str">
        <x:v>PO200179</x:v>
      </x:c>
      <x:c r="N180" s="36" t="n">
        <x:v>46126</x:v>
      </x:c>
      <x:c r="O180" s="38" t="n">
        <x:v>12.08</x:v>
      </x:c>
      <x:c r="P180" t="str">
        <x:v>60 Days</x:v>
      </x:c>
      <x:c r="Q180" t="str">
        <x:v>R. Sharma</x:v>
      </x:c>
      <x:c r="R180" s="36" t="n">
        <x:v>46136</x:v>
      </x:c>
      <x:c r="S180" s="36" t="n">
        <x:v>46135</x:v>
      </x:c>
      <x:c r="T180" s="40" t="n">
        <x:v>20</x:v>
      </x:c>
      <x:c r="U180" t="str">
        <x:v>INV300179</x:v>
      </x:c>
      <x:c r="V180" s="36" t="n">
        <x:v>46138</x:v>
      </x:c>
      <x:c r="W180" s="40" t="n">
        <x:v>20</x:v>
      </x:c>
      <x:c r="X180" s="38" t="n">
        <x:v>241.6</x:v>
      </x:c>
      <x:c r="Y180" t="str">
        <x:v>Pending Approval</x:v>
      </x:c>
      <x:c r="Z180" s="38" t="n">
        <x:f>ROUND(L180*O180,2)</x:f>
        <x:v>241.6</x:v>
      </x:c>
      <x:c r="AA180" t="n">
        <x:f>IF(S180="","",S180-N180)</x:f>
        <x:v>9</x:v>
      </x:c>
      <x:c r="AB180" t="str">
        <x:f>IF(S180="","Open",IF(S180&lt;=R180,"On Time","Late"))</x:f>
        <x:v>On Time</x:v>
      </x:c>
      <x:c r="AC180" t="str">
        <x:f>IF(S180="","Open",IF(T180=L180,"Match","Mismatch"))</x:f>
        <x:v>Match</x:v>
      </x:c>
      <x:c r="AD180" t="str">
        <x:f>IF(V180="","Open",IF(ABS(X180-Z180)&lt;=1,"Match","Mismatch"))</x:f>
        <x:v>Match</x:v>
      </x:c>
      <x:c r="AE180" t="str">
        <x:f>IF(OR(AC180="Open",AD180="Open"),"Open",IF(AND(AC180="Match",AD180="Match",W180=T180),"Matched","Exception"))</x:f>
        <x:v>Matched</x:v>
      </x:c>
      <x:c r="AF180" s="40" t="n">
        <x:f>MAX(L180-T180,0)</x:f>
        <x:v>0</x:v>
      </x:c>
    </x:row>
    <x:row r="181">
      <x:c r="A181" t="str">
        <x:v>PR100180</x:v>
      </x:c>
      <x:c r="B181" s="36" t="n">
        <x:v>46168</x:v>
      </x:c>
      <x:c r="C181" t="str">
        <x:v>Civil Projects</x:v>
      </x:c>
      <x:c r="D181" t="str">
        <x:v>PRJ-002</x:v>
      </x:c>
      <x:c r="E181" t="str">
        <x:v>MAT036</x:v>
      </x:c>
      <x:c r="F181" t="str">
        <x:v>Cutting Disc 4 inch</x:v>
      </x:c>
      <x:c r="G181" t="str">
        <x:v>Consumables</x:v>
      </x:c>
      <x:c r="H181" t="str">
        <x:v>EA</x:v>
      </x:c>
      <x:c r="I181" t="str">
        <x:v>SUP009</x:v>
      </x:c>
      <x:c r="J181" t="str">
        <x:v>Nava Bharat Hardware</x:v>
      </x:c>
      <x:c r="K181" t="str">
        <x:v>Andhra Pradesh</x:v>
      </x:c>
      <x:c r="L181" s="40" t="n">
        <x:v>200</x:v>
      </x:c>
      <x:c r="M181" t="str">
        <x:v>PO200180</x:v>
      </x:c>
      <x:c r="N181" s="36" t="n">
        <x:v>46172</x:v>
      </x:c>
      <x:c r="O181" s="38" t="n">
        <x:v>49.24</x:v>
      </x:c>
      <x:c r="P181" t="str">
        <x:v>45 Days</x:v>
      </x:c>
      <x:c r="Q181" t="str">
        <x:v>M. Priya</x:v>
      </x:c>
      <x:c r="R181" s="36" t="n">
        <x:v>46188</x:v>
      </x:c>
      <x:c r="S181" s="36" t="n">
        <x:v>46191</x:v>
      </x:c>
      <x:c r="T181" s="40" t="n">
        <x:v>200</x:v>
      </x:c>
      <x:c r="U181" t="str">
        <x:v>INV300180</x:v>
      </x:c>
      <x:c r="V181" s="36" t="n">
        <x:v>46196</x:v>
      </x:c>
      <x:c r="W181" s="40" t="n">
        <x:v>200</x:v>
      </x:c>
      <x:c r="X181" s="38" t="n">
        <x:v>9848</x:v>
      </x:c>
      <x:c r="Y181" t="str">
        <x:v>Paid</x:v>
      </x:c>
      <x:c r="Z181" s="38" t="n">
        <x:f>ROUND(L181*O181,2)</x:f>
        <x:v>9848</x:v>
      </x:c>
      <x:c r="AA181" t="n">
        <x:f>IF(S181="","",S181-N181)</x:f>
        <x:v>19</x:v>
      </x:c>
      <x:c r="AB181" t="str">
        <x:f>IF(S181="","Open",IF(S181&lt;=R181,"On Time","Late"))</x:f>
        <x:v>Late</x:v>
      </x:c>
      <x:c r="AC181" t="str">
        <x:f>IF(S181="","Open",IF(T181=L181,"Match","Mismatch"))</x:f>
        <x:v>Match</x:v>
      </x:c>
      <x:c r="AD181" t="str">
        <x:f>IF(V181="","Open",IF(ABS(X181-Z181)&lt;=1,"Match","Mismatch"))</x:f>
        <x:v>Match</x:v>
      </x:c>
      <x:c r="AE181" t="str">
        <x:f>IF(OR(AC181="Open",AD181="Open"),"Open",IF(AND(AC181="Match",AD181="Match",W181=T181),"Matched","Exception"))</x:f>
        <x:v>Matched</x:v>
      </x:c>
      <x:c r="AF181" s="40" t="n">
        <x:f>MAX(L181-T181,0)</x:f>
        <x:v>0</x:v>
      </x:c>
    </x:row>
    <x:row r="182">
      <x:c r="A182" t="str">
        <x:v>PR100181</x:v>
      </x:c>
      <x:c r="B182" s="36" t="n">
        <x:v>46223</x:v>
      </x:c>
      <x:c r="C182" t="str">
        <x:v>Maintenance</x:v>
      </x:c>
      <x:c r="D182" t="str">
        <x:v>PRJ-005</x:v>
      </x:c>
      <x:c r="E182" t="str">
        <x:v>MAT027</x:v>
      </x:c>
      <x:c r="F182" t="str">
        <x:v>Wall Putty 20kg</x:v>
      </x:c>
      <x:c r="G182" t="str">
        <x:v>Finishes</x:v>
      </x:c>
      <x:c r="H182" t="str">
        <x:v>BAG</x:v>
      </x:c>
      <x:c r="I182" t="str">
        <x:v>SUP011</x:v>
      </x:c>
      <x:c r="J182" t="str">
        <x:v>Vertex Industrial Supply</x:v>
      </x:c>
      <x:c r="K182" t="str">
        <x:v>Maharashtra</x:v>
      </x:c>
      <x:c r="L182" s="40" t="n">
        <x:v>100</x:v>
      </x:c>
      <x:c r="M182" t="str">
        <x:v>PO200181</x:v>
      </x:c>
      <x:c r="N182" s="36" t="n">
        <x:v>46229</x:v>
      </x:c>
      <x:c r="O182" s="38" t="n">
        <x:v>722.86</x:v>
      </x:c>
      <x:c r="P182" t="str">
        <x:v>45 Days</x:v>
      </x:c>
      <x:c r="Q182" t="str">
        <x:v>A. Reddy</x:v>
      </x:c>
      <x:c r="R182" s="36" t="n">
        <x:v>46242</x:v>
      </x:c>
      <x:c r="S182" s="36" t="n">
        <x:v>46252</x:v>
      </x:c>
      <x:c r="T182" s="40" t="n">
        <x:v>100</x:v>
      </x:c>
      <x:c r="U182" t="str">
        <x:v>INV300181</x:v>
      </x:c>
      <x:c r="V182" s="36" t="n">
        <x:v>46256</x:v>
      </x:c>
      <x:c r="W182" s="40" t="n">
        <x:v>98</x:v>
      </x:c>
      <x:c r="X182" s="38" t="n">
        <x:v>72286</x:v>
      </x:c>
      <x:c r="Y182" t="str">
        <x:v>Paid</x:v>
      </x:c>
      <x:c r="Z182" s="38" t="n">
        <x:f>ROUND(L182*O182,2)</x:f>
        <x:v>72286</x:v>
      </x:c>
      <x:c r="AA182" t="n">
        <x:f>IF(S182="","",S182-N182)</x:f>
        <x:v>23</x:v>
      </x:c>
      <x:c r="AB182" t="str">
        <x:f>IF(S182="","Open",IF(S182&lt;=R182,"On Time","Late"))</x:f>
        <x:v>Late</x:v>
      </x:c>
      <x:c r="AC182" t="str">
        <x:f>IF(S182="","Open",IF(T182=L182,"Match","Mismatch"))</x:f>
        <x:v>Match</x:v>
      </x:c>
      <x:c r="AD182" t="str">
        <x:f>IF(V182="","Open",IF(ABS(X182-Z182)&lt;=1,"Match","Mismatch"))</x:f>
        <x:v>Match</x:v>
      </x:c>
      <x:c r="AE182" t="str">
        <x:f>IF(OR(AC182="Open",AD182="Open"),"Open",IF(AND(AC182="Match",AD182="Match",W182=T182),"Matched","Exception"))</x:f>
        <x:v>Exception</x:v>
      </x:c>
      <x:c r="AF182" s="40" t="n">
        <x:f>MAX(L182-T182,0)</x:f>
        <x:v>0</x:v>
      </x:c>
    </x:row>
    <x:row r="183">
      <x:c r="A183" t="str">
        <x:v>PR100182</x:v>
      </x:c>
      <x:c r="B183" s="36" t="n">
        <x:v>46186</x:v>
      </x:c>
      <x:c r="C183" t="str">
        <x:v>Facilities</x:v>
      </x:c>
      <x:c r="D183" t="str">
        <x:v>PRJ-008</x:v>
      </x:c>
      <x:c r="E183" t="str">
        <x:v>MAT022</x:v>
      </x:c>
      <x:c r="F183" t="str">
        <x:v>Hammer Drill</x:v>
      </x:c>
      <x:c r="G183" t="str">
        <x:v>Tools</x:v>
      </x:c>
      <x:c r="H183" t="str">
        <x:v>EA</x:v>
      </x:c>
      <x:c r="I183" t="str">
        <x:v>SUP009</x:v>
      </x:c>
      <x:c r="J183" t="str">
        <x:v>Nava Bharat Hardware</x:v>
      </x:c>
      <x:c r="K183" t="str">
        <x:v>Andhra Pradesh</x:v>
      </x:c>
      <x:c r="L183" s="40" t="n">
        <x:v>20</x:v>
      </x:c>
      <x:c r="M183" t="str">
        <x:v>PO200182</x:v>
      </x:c>
      <x:c r="N183" s="36" t="n">
        <x:v>46189</x:v>
      </x:c>
      <x:c r="O183" s="38" t="n">
        <x:v>7446.34</x:v>
      </x:c>
      <x:c r="P183" t="str">
        <x:v>30 Days</x:v>
      </x:c>
      <x:c r="Q183" t="str">
        <x:v>R. Sharma</x:v>
      </x:c>
      <x:c r="R183" s="36" t="n">
        <x:v>46206</x:v>
      </x:c>
      <x:c r="S183" s="36" t="n">
        <x:v>46203</x:v>
      </x:c>
      <x:c r="T183" s="40" t="n">
        <x:v>20</x:v>
      </x:c>
      <x:c r="U183" t="str">
        <x:v>INV300182</x:v>
      </x:c>
      <x:c r="V183" s="36" t="n">
        <x:v>46206</x:v>
      </x:c>
      <x:c r="W183" s="40" t="n">
        <x:v>20</x:v>
      </x:c>
      <x:c r="X183" s="38" t="n">
        <x:v>148926.8</x:v>
      </x:c>
      <x:c r="Y183" t="str">
        <x:v>Paid</x:v>
      </x:c>
      <x:c r="Z183" s="38" t="n">
        <x:f>ROUND(L183*O183,2)</x:f>
        <x:v>148926.8</x:v>
      </x:c>
      <x:c r="AA183" t="n">
        <x:f>IF(S183="","",S183-N183)</x:f>
        <x:v>14</x:v>
      </x:c>
      <x:c r="AB183" t="str">
        <x:f>IF(S183="","Open",IF(S183&lt;=R183,"On Time","Late"))</x:f>
        <x:v>On Time</x:v>
      </x:c>
      <x:c r="AC183" t="str">
        <x:f>IF(S183="","Open",IF(T183=L183,"Match","Mismatch"))</x:f>
        <x:v>Match</x:v>
      </x:c>
      <x:c r="AD183" t="str">
        <x:f>IF(V183="","Open",IF(ABS(X183-Z183)&lt;=1,"Match","Mismatch"))</x:f>
        <x:v>Match</x:v>
      </x:c>
      <x:c r="AE183" t="str">
        <x:f>IF(OR(AC183="Open",AD183="Open"),"Open",IF(AND(AC183="Match",AD183="Match",W183=T183),"Matched","Exception"))</x:f>
        <x:v>Matched</x:v>
      </x:c>
      <x:c r="AF183" s="40" t="n">
        <x:f>MAX(L183-T183,0)</x:f>
        <x:v>0</x:v>
      </x:c>
    </x:row>
    <x:row r="184">
      <x:c r="A184" t="str">
        <x:v>PR100183</x:v>
      </x:c>
      <x:c r="B184" s="36" t="n">
        <x:v>46055</x:v>
      </x:c>
      <x:c r="C184" t="str">
        <x:v>Operations</x:v>
      </x:c>
      <x:c r="D184" t="str">
        <x:v>PRJ-004</x:v>
      </x:c>
      <x:c r="E184" t="str">
        <x:v>MAT032</x:v>
      </x:c>
      <x:c r="F184" t="str">
        <x:v>Printer Toner</x:v>
      </x:c>
      <x:c r="G184" t="str">
        <x:v>Office Supplies</x:v>
      </x:c>
      <x:c r="H184" t="str">
        <x:v>EA</x:v>
      </x:c>
      <x:c r="I184" t="str">
        <x:v>SUP008</x:v>
      </x:c>
      <x:c r="J184" t="str">
        <x:v>Prime Office Solutions</x:v>
      </x:c>
      <x:c r="K184" t="str">
        <x:v>Telangana</x:v>
      </x:c>
      <x:c r="L184" s="40" t="n">
        <x:v>150</x:v>
      </x:c>
      <x:c r="M184" t="str">
        <x:v>PO200183</x:v>
      </x:c>
      <x:c r="N184" s="36" t="n">
        <x:v>46056</x:v>
      </x:c>
      <x:c r="O184" s="38" t="n">
        <x:v>4615.63</x:v>
      </x:c>
      <x:c r="P184" t="str">
        <x:v>45 Days</x:v>
      </x:c>
      <x:c r="Q184" t="str">
        <x:v>M. Priya</x:v>
      </x:c>
      <x:c r="R184" s="36" t="n">
        <x:v>46064</x:v>
      </x:c>
      <x:c r="S184" s="36" t="n">
        <x:v>46064</x:v>
      </x:c>
      <x:c r="T184" s="40" t="n">
        <x:v>150</x:v>
      </x:c>
      <x:c r="U184" t="str">
        <x:v>INV300183</x:v>
      </x:c>
      <x:c r="V184" s="36" t="n">
        <x:v>46071</x:v>
      </x:c>
      <x:c r="W184" s="40" t="n">
        <x:v>150</x:v>
      </x:c>
      <x:c r="X184" s="38" t="n">
        <x:v>664650.72</x:v>
      </x:c>
      <x:c r="Y184" t="str">
        <x:v>Paid</x:v>
      </x:c>
      <x:c r="Z184" s="38" t="n">
        <x:f>ROUND(L184*O184,2)</x:f>
        <x:v>692344.5</x:v>
      </x:c>
      <x:c r="AA184" t="n">
        <x:f>IF(S184="","",S184-N184)</x:f>
        <x:v>8</x:v>
      </x:c>
      <x:c r="AB184" t="str">
        <x:f>IF(S184="","Open",IF(S184&lt;=R184,"On Time","Late"))</x:f>
        <x:v>On Time</x:v>
      </x:c>
      <x:c r="AC184" t="str">
        <x:f>IF(S184="","Open",IF(T184=L184,"Match","Mismatch"))</x:f>
        <x:v>Match</x:v>
      </x:c>
      <x:c r="AD184" t="str">
        <x:f>IF(V184="","Open",IF(ABS(X184-Z184)&lt;=1,"Match","Mismatch"))</x:f>
        <x:v>Mismatch</x:v>
      </x:c>
      <x:c r="AE184" t="str">
        <x:f>IF(OR(AC184="Open",AD184="Open"),"Open",IF(AND(AC184="Match",AD184="Match",W184=T184),"Matched","Exception"))</x:f>
        <x:v>Exception</x:v>
      </x:c>
      <x:c r="AF184" s="40" t="n">
        <x:f>MAX(L184-T184,0)</x:f>
        <x:v>0</x:v>
      </x:c>
    </x:row>
    <x:row r="185">
      <x:c r="A185" t="str">
        <x:v>PR100184</x:v>
      </x:c>
      <x:c r="B185" s="36" t="n">
        <x:v>46090</x:v>
      </x:c>
      <x:c r="C185" t="str">
        <x:v>Operations</x:v>
      </x:c>
      <x:c r="D185" t="str">
        <x:v>PRJ-001</x:v>
      </x:c>
      <x:c r="E185" t="str">
        <x:v>MAT030</x:v>
      </x:c>
      <x:c r="F185" t="str">
        <x:v>Waterproofing Compound 20L</x:v>
      </x:c>
      <x:c r="G185" t="str">
        <x:v>Finishes</x:v>
      </x:c>
      <x:c r="H185" t="str">
        <x:v>CAN</x:v>
      </x:c>
      <x:c r="I185" t="str">
        <x:v>SUP011</x:v>
      </x:c>
      <x:c r="J185" t="str">
        <x:v>Vertex Industrial Supply</x:v>
      </x:c>
      <x:c r="K185" t="str">
        <x:v>Maharashtra</x:v>
      </x:c>
      <x:c r="L185" s="40" t="n">
        <x:v>100</x:v>
      </x:c>
      <x:c r="M185" t="str">
        <x:v>PO200184</x:v>
      </x:c>
      <x:c r="N185" s="36" t="n">
        <x:v>46090</x:v>
      </x:c>
      <x:c r="O185" s="38" t="n">
        <x:v>2515.97</x:v>
      </x:c>
      <x:c r="P185" t="str">
        <x:v>45 Days</x:v>
      </x:c>
      <x:c r="Q185" t="str">
        <x:v>A. Reddy</x:v>
      </x:c>
      <x:c r="R185" s="36" t="n">
        <x:v>46099</x:v>
      </x:c>
      <x:c r="S185" s="36" t="n">
        <x:v>46097</x:v>
      </x:c>
      <x:c r="T185" s="40" t="n">
        <x:v>100</x:v>
      </x:c>
      <x:c r="U185" t="str">
        <x:v>INV300184</x:v>
      </x:c>
      <x:c r="V185" s="36" t="n">
        <x:v>46104</x:v>
      </x:c>
      <x:c r="W185" s="40" t="n">
        <x:v>100</x:v>
      </x:c>
      <x:c r="X185" s="38" t="n">
        <x:v>251597</x:v>
      </x:c>
      <x:c r="Y185" t="str">
        <x:v>Paid</x:v>
      </x:c>
      <x:c r="Z185" s="38" t="n">
        <x:f>ROUND(L185*O185,2)</x:f>
        <x:v>251597</x:v>
      </x:c>
      <x:c r="AA185" t="n">
        <x:f>IF(S185="","",S185-N185)</x:f>
        <x:v>7</x:v>
      </x:c>
      <x:c r="AB185" t="str">
        <x:f>IF(S185="","Open",IF(S185&lt;=R185,"On Time","Late"))</x:f>
        <x:v>On Time</x:v>
      </x:c>
      <x:c r="AC185" t="str">
        <x:f>IF(S185="","Open",IF(T185=L185,"Match","Mismatch"))</x:f>
        <x:v>Match</x:v>
      </x:c>
      <x:c r="AD185" t="str">
        <x:f>IF(V185="","Open",IF(ABS(X185-Z185)&lt;=1,"Match","Mismatch"))</x:f>
        <x:v>Match</x:v>
      </x:c>
      <x:c r="AE185" t="str">
        <x:f>IF(OR(AC185="Open",AD185="Open"),"Open",IF(AND(AC185="Match",AD185="Match",W185=T185),"Matched","Exception"))</x:f>
        <x:v>Matched</x:v>
      </x:c>
      <x:c r="AF185" s="40" t="n">
        <x:f>MAX(L185-T185,0)</x:f>
        <x:v>0</x:v>
      </x:c>
    </x:row>
    <x:row r="186">
      <x:c r="A186" t="str">
        <x:v>PR100185</x:v>
      </x:c>
      <x:c r="B186" s="36" t="n">
        <x:v>46140</x:v>
      </x:c>
      <x:c r="C186" t="str">
        <x:v>Operations</x:v>
      </x:c>
      <x:c r="D186" t="str">
        <x:v>PRJ-005</x:v>
      </x:c>
      <x:c r="E186" t="str">
        <x:v>MAT011</x:v>
      </x:c>
      <x:c r="F186" t="str">
        <x:v>Red Clay Brick</x:v>
      </x:c>
      <x:c r="G186" t="str">
        <x:v>Masonry</x:v>
      </x:c>
      <x:c r="H186" t="str">
        <x:v>EA</x:v>
      </x:c>
      <x:c r="I186" t="str">
        <x:v>SUP009</x:v>
      </x:c>
      <x:c r="J186" t="str">
        <x:v>Nava Bharat Hardware</x:v>
      </x:c>
      <x:c r="K186" t="str">
        <x:v>Andhra Pradesh</x:v>
      </x:c>
      <x:c r="L186" s="40" t="n">
        <x:v>75</x:v>
      </x:c>
      <x:c r="M186" t="str">
        <x:v>PO200185</x:v>
      </x:c>
      <x:c r="N186" s="36" t="n">
        <x:v>46141</x:v>
      </x:c>
      <x:c r="O186" s="38" t="n">
        <x:v>11.14</x:v>
      </x:c>
      <x:c r="P186" t="str">
        <x:v>60 Days</x:v>
      </x:c>
      <x:c r="Q186" t="str">
        <x:v>M. Priya</x:v>
      </x:c>
      <x:c r="R186" s="36" t="n">
        <x:v>46149</x:v>
      </x:c>
      <x:c r="S186" s="36" t="n">
        <x:v>46149</x:v>
      </x:c>
      <x:c r="T186" s="40" t="n">
        <x:v>75</x:v>
      </x:c>
      <x:c r="U186" t="str">
        <x:v>INV300185</x:v>
      </x:c>
      <x:c r="V186" s="36" t="n">
        <x:v>46151</x:v>
      </x:c>
      <x:c r="W186" s="40" t="n">
        <x:v>75</x:v>
      </x:c>
      <x:c r="X186" s="38" t="n">
        <x:v>835.5</x:v>
      </x:c>
      <x:c r="Y186" t="str">
        <x:v>Paid</x:v>
      </x:c>
      <x:c r="Z186" s="38" t="n">
        <x:f>ROUND(L186*O186,2)</x:f>
        <x:v>835.5</x:v>
      </x:c>
      <x:c r="AA186" t="n">
        <x:f>IF(S186="","",S186-N186)</x:f>
        <x:v>8</x:v>
      </x:c>
      <x:c r="AB186" t="str">
        <x:f>IF(S186="","Open",IF(S186&lt;=R186,"On Time","Late"))</x:f>
        <x:v>On Time</x:v>
      </x:c>
      <x:c r="AC186" t="str">
        <x:f>IF(S186="","Open",IF(T186=L186,"Match","Mismatch"))</x:f>
        <x:v>Match</x:v>
      </x:c>
      <x:c r="AD186" t="str">
        <x:f>IF(V186="","Open",IF(ABS(X186-Z186)&lt;=1,"Match","Mismatch"))</x:f>
        <x:v>Match</x:v>
      </x:c>
      <x:c r="AE186" t="str">
        <x:f>IF(OR(AC186="Open",AD186="Open"),"Open",IF(AND(AC186="Match",AD186="Match",W186=T186),"Matched","Exception"))</x:f>
        <x:v>Matched</x:v>
      </x:c>
      <x:c r="AF186" s="40" t="n">
        <x:f>MAX(L186-T186,0)</x:f>
        <x:v>0</x:v>
      </x:c>
    </x:row>
    <x:row r="187">
      <x:c r="A187" t="str">
        <x:v>PR100186</x:v>
      </x:c>
      <x:c r="B187" s="36" t="n">
        <x:v>46205</x:v>
      </x:c>
      <x:c r="C187" t="str">
        <x:v>Civil Projects</x:v>
      </x:c>
      <x:c r="D187" t="str">
        <x:v>PRJ-008</x:v>
      </x:c>
      <x:c r="E187" t="str">
        <x:v>MAT028</x:v>
      </x:c>
      <x:c r="F187" t="str">
        <x:v>Exterior Paint 20L</x:v>
      </x:c>
      <x:c r="G187" t="str">
        <x:v>Finishes</x:v>
      </x:c>
      <x:c r="H187" t="str">
        <x:v>CAN</x:v>
      </x:c>
      <x:c r="I187" t="str">
        <x:v>SUP011</x:v>
      </x:c>
      <x:c r="J187" t="str">
        <x:v>Vertex Industrial Supply</x:v>
      </x:c>
      <x:c r="K187" t="str">
        <x:v>Maharashtra</x:v>
      </x:c>
      <x:c r="L187" s="40" t="n">
        <x:v>100</x:v>
      </x:c>
      <x:c r="M187" t="str">
        <x:v>PO200186</x:v>
      </x:c>
      <x:c r="N187" s="36" t="n">
        <x:v>46210</x:v>
      </x:c>
      <x:c r="O187" s="38" t="n">
        <x:v>3848.83</x:v>
      </x:c>
      <x:c r="P187" t="str">
        <x:v>30 Days</x:v>
      </x:c>
      <x:c r="Q187" t="str">
        <x:v>M. Priya</x:v>
      </x:c>
      <x:c r="R187" s="36" t="n">
        <x:v>46217</x:v>
      </x:c>
      <x:c r="S187" s="36" t="n">
        <x:v>46217</x:v>
      </x:c>
      <x:c r="T187" s="40" t="n">
        <x:v>95</x:v>
      </x:c>
      <x:c r="U187" t="str">
        <x:v>INV300186</x:v>
      </x:c>
      <x:c r="V187" s="36" t="n">
        <x:v>46222</x:v>
      </x:c>
      <x:c r="W187" s="40" t="n">
        <x:v>95</x:v>
      </x:c>
      <x:c r="X187" s="38" t="n">
        <x:v>384883</x:v>
      </x:c>
      <x:c r="Y187" t="str">
        <x:v>Paid</x:v>
      </x:c>
      <x:c r="Z187" s="38" t="n">
        <x:f>ROUND(L187*O187,2)</x:f>
        <x:v>384883</x:v>
      </x:c>
      <x:c r="AA187" t="n">
        <x:f>IF(S187="","",S187-N187)</x:f>
        <x:v>7</x:v>
      </x:c>
      <x:c r="AB187" t="str">
        <x:f>IF(S187="","Open",IF(S187&lt;=R187,"On Time","Late"))</x:f>
        <x:v>On Time</x:v>
      </x:c>
      <x:c r="AC187" t="str">
        <x:f>IF(S187="","Open",IF(T187=L187,"Match","Mismatch"))</x:f>
        <x:v>Mismatch</x:v>
      </x:c>
      <x:c r="AD187" t="str">
        <x:f>IF(V187="","Open",IF(ABS(X187-Z187)&lt;=1,"Match","Mismatch"))</x:f>
        <x:v>Match</x:v>
      </x:c>
      <x:c r="AE187" t="str">
        <x:f>IF(OR(AC187="Open",AD187="Open"),"Open",IF(AND(AC187="Match",AD187="Match",W187=T187),"Matched","Exception"))</x:f>
        <x:v>Exception</x:v>
      </x:c>
      <x:c r="AF187" s="40" t="n">
        <x:f>MAX(L187-T187,0)</x:f>
        <x:v>5</x:v>
      </x:c>
    </x:row>
    <x:row r="188">
      <x:c r="A188" t="str">
        <x:v>PR100187</x:v>
      </x:c>
      <x:c r="B188" s="36" t="n">
        <x:v>46168</x:v>
      </x:c>
      <x:c r="C188" t="str">
        <x:v>Operations</x:v>
      </x:c>
      <x:c r="D188" t="str">
        <x:v>PRJ-005</x:v>
      </x:c>
      <x:c r="E188" t="str">
        <x:v>MAT018</x:v>
      </x:c>
      <x:c r="F188" t="str">
        <x:v>Safety Helmet</x:v>
      </x:c>
      <x:c r="G188" t="str">
        <x:v>Safety</x:v>
      </x:c>
      <x:c r="H188" t="str">
        <x:v>EA</x:v>
      </x:c>
      <x:c r="I188" t="str">
        <x:v>SUP007</x:v>
      </x:c>
      <x:c r="J188" t="str">
        <x:v>Precision Tools India</x:v>
      </x:c>
      <x:c r="K188" t="str">
        <x:v>Telangana</x:v>
      </x:c>
      <x:c r="L188" s="40" t="n">
        <x:v>25</x:v>
      </x:c>
      <x:c r="M188" t="str">
        <x:v>PO200187</x:v>
      </x:c>
      <x:c r="N188" s="36" t="n">
        <x:v>46171</x:v>
      </x:c>
      <x:c r="O188" s="38" t="n">
        <x:v>395.11</x:v>
      </x:c>
      <x:c r="P188" t="str">
        <x:v>45 Days</x:v>
      </x:c>
      <x:c r="Q188" t="str">
        <x:v>R. Sharma</x:v>
      </x:c>
      <x:c r="R188" s="36" t="n">
        <x:v>46178</x:v>
      </x:c>
      <x:c r="S188" s="36" t="n">
        <x:v>46188</x:v>
      </x:c>
      <x:c r="T188" s="40" t="n">
        <x:v>25</x:v>
      </x:c>
      <x:c r="U188" t="str">
        <x:v>INV300187</x:v>
      </x:c>
      <x:c r="V188" s="36" t="n">
        <x:v>46191</x:v>
      </x:c>
      <x:c r="W188" s="40" t="n">
        <x:v>25</x:v>
      </x:c>
      <x:c r="X188" s="38" t="n">
        <x:v>9877.75</x:v>
      </x:c>
      <x:c r="Y188" t="str">
        <x:v>Paid</x:v>
      </x:c>
      <x:c r="Z188" s="38" t="n">
        <x:f>ROUND(L188*O188,2)</x:f>
        <x:v>9877.75</x:v>
      </x:c>
      <x:c r="AA188" t="n">
        <x:f>IF(S188="","",S188-N188)</x:f>
        <x:v>17</x:v>
      </x:c>
      <x:c r="AB188" t="str">
        <x:f>IF(S188="","Open",IF(S188&lt;=R188,"On Time","Late"))</x:f>
        <x:v>Late</x:v>
      </x:c>
      <x:c r="AC188" t="str">
        <x:f>IF(S188="","Open",IF(T188=L188,"Match","Mismatch"))</x:f>
        <x:v>Match</x:v>
      </x:c>
      <x:c r="AD188" t="str">
        <x:f>IF(V188="","Open",IF(ABS(X188-Z188)&lt;=1,"Match","Mismatch"))</x:f>
        <x:v>Match</x:v>
      </x:c>
      <x:c r="AE188" t="str">
        <x:f>IF(OR(AC188="Open",AD188="Open"),"Open",IF(AND(AC188="Match",AD188="Match",W188=T188),"Matched","Exception"))</x:f>
        <x:v>Matched</x:v>
      </x:c>
      <x:c r="AF188" s="40" t="n">
        <x:f>MAX(L188-T188,0)</x:f>
        <x:v>0</x:v>
      </x:c>
    </x:row>
    <x:row r="189">
      <x:c r="A189" t="str">
        <x:v>PR100188</x:v>
      </x:c>
      <x:c r="B189" s="36" t="n">
        <x:v>46124</x:v>
      </x:c>
      <x:c r="C189" t="str">
        <x:v>Operations</x:v>
      </x:c>
      <x:c r="D189" t="str">
        <x:v>PRJ-002</x:v>
      </x:c>
      <x:c r="E189" t="str">
        <x:v>MAT025</x:v>
      </x:c>
      <x:c r="F189" t="str">
        <x:v>Shuttering Plywood 12mm</x:v>
      </x:c>
      <x:c r="G189" t="str">
        <x:v>Formwork</x:v>
      </x:c>
      <x:c r="H189" t="str">
        <x:v>SHEET</x:v>
      </x:c>
      <x:c r="I189" t="str">
        <x:v>SUP010</x:v>
      </x:c>
      <x:c r="J189" t="str">
        <x:v>Urban Infra Materials</x:v>
      </x:c>
      <x:c r="K189" t="str">
        <x:v>Karnataka</x:v>
      </x:c>
      <x:c r="L189" s="40" t="n">
        <x:v>150</x:v>
      </x:c>
      <x:c r="M189" t="str">
        <x:v>PO200188</x:v>
      </x:c>
      <x:c r="N189" s="36" t="n">
        <x:v>46126</x:v>
      </x:c>
      <x:c r="O189" s="38" t="n">
        <x:v>1366.06</x:v>
      </x:c>
      <x:c r="P189" t="str">
        <x:v>45 Days</x:v>
      </x:c>
      <x:c r="Q189" t="str">
        <x:v>S. Kumar</x:v>
      </x:c>
      <x:c r="R189" s="36" t="n">
        <x:v>46140</x:v>
      </x:c>
      <x:c r="S189" s="36" t="n">
        <x:v>46138</x:v>
      </x:c>
      <x:c r="T189" s="40" t="n">
        <x:v>150</x:v>
      </x:c>
      <x:c r="U189" t="str">
        <x:v>INV300188</x:v>
      </x:c>
      <x:c r="V189" s="36" t="n">
        <x:v>46145</x:v>
      </x:c>
      <x:c r="W189" s="40" t="n">
        <x:v>150</x:v>
      </x:c>
      <x:c r="X189" s="38" t="n">
        <x:v>204909</x:v>
      </x:c>
      <x:c r="Y189" t="str">
        <x:v>Paid</x:v>
      </x:c>
      <x:c r="Z189" s="38" t="n">
        <x:f>ROUND(L189*O189,2)</x:f>
        <x:v>204909</x:v>
      </x:c>
      <x:c r="AA189" t="n">
        <x:f>IF(S189="","",S189-N189)</x:f>
        <x:v>12</x:v>
      </x:c>
      <x:c r="AB189" t="str">
        <x:f>IF(S189="","Open",IF(S189&lt;=R189,"On Time","Late"))</x:f>
        <x:v>On Time</x:v>
      </x:c>
      <x:c r="AC189" t="str">
        <x:f>IF(S189="","Open",IF(T189=L189,"Match","Mismatch"))</x:f>
        <x:v>Match</x:v>
      </x:c>
      <x:c r="AD189" t="str">
        <x:f>IF(V189="","Open",IF(ABS(X189-Z189)&lt;=1,"Match","Mismatch"))</x:f>
        <x:v>Match</x:v>
      </x:c>
      <x:c r="AE189" t="str">
        <x:f>IF(OR(AC189="Open",AD189="Open"),"Open",IF(AND(AC189="Match",AD189="Match",W189=T189),"Matched","Exception"))</x:f>
        <x:v>Matched</x:v>
      </x:c>
      <x:c r="AF189" s="40" t="n">
        <x:f>MAX(L189-T189,0)</x:f>
        <x:v>0</x:v>
      </x:c>
    </x:row>
    <x:row r="190">
      <x:c r="A190" t="str">
        <x:v>PR100189</x:v>
      </x:c>
      <x:c r="B190" s="36" t="n">
        <x:v>46198</x:v>
      </x:c>
      <x:c r="C190" t="str">
        <x:v>Civil Projects</x:v>
      </x:c>
      <x:c r="D190" t="str">
        <x:v>PRJ-008</x:v>
      </x:c>
      <x:c r="E190" t="str">
        <x:v>MAT017</x:v>
      </x:c>
      <x:c r="F190" t="str">
        <x:v>LED Flood Light 100W</x:v>
      </x:c>
      <x:c r="G190" t="str">
        <x:v>Electrical</x:v>
      </x:c>
      <x:c r="H190" t="str">
        <x:v>EA</x:v>
      </x:c>
      <x:c r="I190" t="str">
        <x:v>SUP004</x:v>
      </x:c>
      <x:c r="J190" t="str">
        <x:v>Southline Electricals</x:v>
      </x:c>
      <x:c r="K190" t="str">
        <x:v>Telangana</x:v>
      </x:c>
      <x:c r="L190" s="40" t="n">
        <x:v>30</x:v>
      </x:c>
      <x:c r="M190" t="str">
        <x:v>PO200189</x:v>
      </x:c>
      <x:c r="N190" s="36" t="n">
        <x:v>46199</x:v>
      </x:c>
      <x:c r="O190" s="38" t="n">
        <x:v>3003.78</x:v>
      </x:c>
      <x:c r="P190" t="str">
        <x:v>30 Days</x:v>
      </x:c>
      <x:c r="Q190" t="str">
        <x:v>A. Reddy</x:v>
      </x:c>
      <x:c r="R190" s="36" t="n">
        <x:v>46208</x:v>
      </x:c>
      <x:c r="S190" s="36" t="n">
        <x:v>46206</x:v>
      </x:c>
      <x:c r="T190" s="40" t="n">
        <x:v>30</x:v>
      </x:c>
      <x:c r="U190" t="str">
        <x:v>INV300189</x:v>
      </x:c>
      <x:c r="V190" s="36" t="n">
        <x:v>46211</x:v>
      </x:c>
      <x:c r="W190" s="40" t="n">
        <x:v>30</x:v>
      </x:c>
      <x:c r="X190" s="38" t="n">
        <x:v>90113.4</x:v>
      </x:c>
      <x:c r="Y190" t="str">
        <x:v>Paid</x:v>
      </x:c>
      <x:c r="Z190" s="38" t="n">
        <x:f>ROUND(L190*O190,2)</x:f>
        <x:v>90113.4</x:v>
      </x:c>
      <x:c r="AA190" t="n">
        <x:f>IF(S190="","",S190-N190)</x:f>
        <x:v>7</x:v>
      </x:c>
      <x:c r="AB190" t="str">
        <x:f>IF(S190="","Open",IF(S190&lt;=R190,"On Time","Late"))</x:f>
        <x:v>On Time</x:v>
      </x:c>
      <x:c r="AC190" t="str">
        <x:f>IF(S190="","Open",IF(T190=L190,"Match","Mismatch"))</x:f>
        <x:v>Match</x:v>
      </x:c>
      <x:c r="AD190" t="str">
        <x:f>IF(V190="","Open",IF(ABS(X190-Z190)&lt;=1,"Match","Mismatch"))</x:f>
        <x:v>Match</x:v>
      </x:c>
      <x:c r="AE190" t="str">
        <x:f>IF(OR(AC190="Open",AD190="Open"),"Open",IF(AND(AC190="Match",AD190="Match",W190=T190),"Matched","Exception"))</x:f>
        <x:v>Matched</x:v>
      </x:c>
      <x:c r="AF190" s="40" t="n">
        <x:f>MAX(L190-T190,0)</x:f>
        <x:v>0</x:v>
      </x:c>
    </x:row>
    <x:row r="191">
      <x:c r="A191" t="str">
        <x:v>PR100190</x:v>
      </x:c>
      <x:c r="B191" s="36" t="n">
        <x:v>46238</x:v>
      </x:c>
      <x:c r="C191" t="str">
        <x:v>Facilities</x:v>
      </x:c>
      <x:c r="D191" t="str">
        <x:v>PRJ-006</x:v>
      </x:c>
      <x:c r="E191" t="str">
        <x:v>MAT025</x:v>
      </x:c>
      <x:c r="F191" t="str">
        <x:v>Shuttering Plywood 12mm</x:v>
      </x:c>
      <x:c r="G191" t="str">
        <x:v>Formwork</x:v>
      </x:c>
      <x:c r="H191" t="str">
        <x:v>SHEET</x:v>
      </x:c>
      <x:c r="I191" t="str">
        <x:v>SUP012</x:v>
      </x:c>
      <x:c r="J191" t="str">
        <x:v>GreenField Construction Supply</x:v>
      </x:c>
      <x:c r="K191" t="str">
        <x:v>Telangana</x:v>
      </x:c>
      <x:c r="L191" s="40" t="n">
        <x:v>30</x:v>
      </x:c>
      <x:c r="M191" t="str">
        <x:v>PO200190</x:v>
      </x:c>
      <x:c r="N191" s="36" t="n">
        <x:v>46238</x:v>
      </x:c>
      <x:c r="O191" s="38" t="n">
        <x:v>1295.82</x:v>
      </x:c>
      <x:c r="P191" t="str">
        <x:v>60 Days</x:v>
      </x:c>
      <x:c r="Q191" t="str">
        <x:v>A. Reddy</x:v>
      </x:c>
      <x:c r="R191" s="36" t="n">
        <x:v>46244</x:v>
      </x:c>
      <x:c r="S191" s="36" t="n">
        <x:v>46241</x:v>
      </x:c>
      <x:c r="T191" s="40" t="n">
        <x:v>30</x:v>
      </x:c>
      <x:c r="U191" t="str">
        <x:v>INV300190</x:v>
      </x:c>
      <x:c r="V191" s="36" t="n">
        <x:v>46248</x:v>
      </x:c>
      <x:c r="W191" s="40" t="n">
        <x:v>30</x:v>
      </x:c>
      <x:c r="X191" s="38" t="n">
        <x:v>38874.6</x:v>
      </x:c>
      <x:c r="Y191" t="str">
        <x:v>Paid</x:v>
      </x:c>
      <x:c r="Z191" s="38" t="n">
        <x:f>ROUND(L191*O191,2)</x:f>
        <x:v>38874.6</x:v>
      </x:c>
      <x:c r="AA191" t="n">
        <x:f>IF(S191="","",S191-N191)</x:f>
        <x:v>3</x:v>
      </x:c>
      <x:c r="AB191" t="str">
        <x:f>IF(S191="","Open",IF(S191&lt;=R191,"On Time","Late"))</x:f>
        <x:v>On Time</x:v>
      </x:c>
      <x:c r="AC191" t="str">
        <x:f>IF(S191="","Open",IF(T191=L191,"Match","Mismatch"))</x:f>
        <x:v>Match</x:v>
      </x:c>
      <x:c r="AD191" t="str">
        <x:f>IF(V191="","Open",IF(ABS(X191-Z191)&lt;=1,"Match","Mismatch"))</x:f>
        <x:v>Match</x:v>
      </x:c>
      <x:c r="AE191" t="str">
        <x:f>IF(OR(AC191="Open",AD191="Open"),"Open",IF(AND(AC191="Match",AD191="Match",W191=T191),"Matched","Exception"))</x:f>
        <x:v>Matched</x:v>
      </x:c>
      <x:c r="AF191" s="40" t="n">
        <x:f>MAX(L191-T191,0)</x:f>
        <x:v>0</x:v>
      </x:c>
    </x:row>
    <x:row r="192">
      <x:c r="A192" t="str">
        <x:v>PR100191</x:v>
      </x:c>
      <x:c r="B192" s="36" t="n">
        <x:v>46167</x:v>
      </x:c>
      <x:c r="C192" t="str">
        <x:v>Civil Projects</x:v>
      </x:c>
      <x:c r="D192" t="str">
        <x:v>PRJ-004</x:v>
      </x:c>
      <x:c r="E192" t="str">
        <x:v>MAT001</x:v>
      </x:c>
      <x:c r="F192" t="str">
        <x:v>OPC Cement 50kg</x:v>
      </x:c>
      <x:c r="G192" t="str">
        <x:v>Cement &amp; Concrete</x:v>
      </x:c>
      <x:c r="H192" t="str">
        <x:v>BAG</x:v>
      </x:c>
      <x:c r="I192" t="str">
        <x:v>SUP003</x:v>
      </x:c>
      <x:c r="J192" t="str">
        <x:v>BuildRight Aggregates</x:v>
      </x:c>
      <x:c r="K192" t="str">
        <x:v>Telangana</x:v>
      </x:c>
      <x:c r="L192" s="40" t="n">
        <x:v>25</x:v>
      </x:c>
      <x:c r="M192" t="str">
        <x:v>PO200191</x:v>
      </x:c>
      <x:c r="N192" s="36" t="n">
        <x:v>46168</x:v>
      </x:c>
      <x:c r="O192" s="38" t="n">
        <x:v>367.97</x:v>
      </x:c>
      <x:c r="P192" t="str">
        <x:v>60 Days</x:v>
      </x:c>
      <x:c r="Q192" t="str">
        <x:v>M. Priya</x:v>
      </x:c>
      <x:c r="R192" s="36" t="n">
        <x:v>46181</x:v>
      </x:c>
      <x:c r="S192" s="36" t="n">
        <x:v>46191</x:v>
      </x:c>
      <x:c r="T192" s="40" t="n">
        <x:v>25</x:v>
      </x:c>
      <x:c r="U192" t="str">
        <x:v>INV300191</x:v>
      </x:c>
      <x:c r="V192" s="36" t="n">
        <x:v>46195</x:v>
      </x:c>
      <x:c r="W192" s="40" t="n">
        <x:v>25</x:v>
      </x:c>
      <x:c r="X192" s="38" t="n">
        <x:v>9199.25</x:v>
      </x:c>
      <x:c r="Y192" t="str">
        <x:v>Paid</x:v>
      </x:c>
      <x:c r="Z192" s="38" t="n">
        <x:f>ROUND(L192*O192,2)</x:f>
        <x:v>9199.25</x:v>
      </x:c>
      <x:c r="AA192" t="n">
        <x:f>IF(S192="","",S192-N192)</x:f>
        <x:v>23</x:v>
      </x:c>
      <x:c r="AB192" t="str">
        <x:f>IF(S192="","Open",IF(S192&lt;=R192,"On Time","Late"))</x:f>
        <x:v>Late</x:v>
      </x:c>
      <x:c r="AC192" t="str">
        <x:f>IF(S192="","Open",IF(T192=L192,"Match","Mismatch"))</x:f>
        <x:v>Match</x:v>
      </x:c>
      <x:c r="AD192" t="str">
        <x:f>IF(V192="","Open",IF(ABS(X192-Z192)&lt;=1,"Match","Mismatch"))</x:f>
        <x:v>Match</x:v>
      </x:c>
      <x:c r="AE192" t="str">
        <x:f>IF(OR(AC192="Open",AD192="Open"),"Open",IF(AND(AC192="Match",AD192="Match",W192=T192),"Matched","Exception"))</x:f>
        <x:v>Matched</x:v>
      </x:c>
      <x:c r="AF192" s="40" t="n">
        <x:f>MAX(L192-T192,0)</x:f>
        <x:v>0</x:v>
      </x:c>
    </x:row>
    <x:row r="193">
      <x:c r="A193" t="str">
        <x:v>PR100192</x:v>
      </x:c>
      <x:c r="B193" s="36" t="n">
        <x:v>46124</x:v>
      </x:c>
      <x:c r="C193" t="str">
        <x:v>Operations</x:v>
      </x:c>
      <x:c r="D193" t="str">
        <x:v>PRJ-008</x:v>
      </x:c>
      <x:c r="E193" t="str">
        <x:v>MAT001</x:v>
      </x:c>
      <x:c r="F193" t="str">
        <x:v>OPC Cement 50kg</x:v>
      </x:c>
      <x:c r="G193" t="str">
        <x:v>Cement &amp; Concrete</x:v>
      </x:c>
      <x:c r="H193" t="str">
        <x:v>BAG</x:v>
      </x:c>
      <x:c r="I193" t="str">
        <x:v>SUP003</x:v>
      </x:c>
      <x:c r="J193" t="str">
        <x:v>BuildRight Aggregates</x:v>
      </x:c>
      <x:c r="K193" t="str">
        <x:v>Telangana</x:v>
      </x:c>
      <x:c r="L193" s="40" t="n">
        <x:v>30</x:v>
      </x:c>
      <x:c r="M193" t="str">
        <x:v>PO200192</x:v>
      </x:c>
      <x:c r="N193" s="36" t="n">
        <x:v>46124</x:v>
      </x:c>
      <x:c r="O193" s="38" t="n">
        <x:v>350.67</x:v>
      </x:c>
      <x:c r="P193" t="str">
        <x:v>60 Days</x:v>
      </x:c>
      <x:c r="Q193" t="str">
        <x:v>M. Priya</x:v>
      </x:c>
      <x:c r="R193" s="36" t="n">
        <x:v>46138</x:v>
      </x:c>
      <x:c r="S193" s="36" t="n">
        <x:v>46138</x:v>
      </x:c>
      <x:c r="T193" s="40" t="n">
        <x:v>30</x:v>
      </x:c>
      <x:c r="U193" t="str">
        <x:v>INV300192</x:v>
      </x:c>
      <x:c r="V193" s="36" t="n">
        <x:v>46143</x:v>
      </x:c>
      <x:c r="W193" s="40" t="n">
        <x:v>30</x:v>
      </x:c>
      <x:c r="X193" s="38" t="n">
        <x:v>10099.3</x:v>
      </x:c>
      <x:c r="Y193" t="str">
        <x:v>Paid</x:v>
      </x:c>
      <x:c r="Z193" s="38" t="n">
        <x:f>ROUND(L193*O193,2)</x:f>
        <x:v>10520.1</x:v>
      </x:c>
      <x:c r="AA193" t="n">
        <x:f>IF(S193="","",S193-N193)</x:f>
        <x:v>14</x:v>
      </x:c>
      <x:c r="AB193" t="str">
        <x:f>IF(S193="","Open",IF(S193&lt;=R193,"On Time","Late"))</x:f>
        <x:v>On Time</x:v>
      </x:c>
      <x:c r="AC193" t="str">
        <x:f>IF(S193="","Open",IF(T193=L193,"Match","Mismatch"))</x:f>
        <x:v>Match</x:v>
      </x:c>
      <x:c r="AD193" t="str">
        <x:f>IF(V193="","Open",IF(ABS(X193-Z193)&lt;=1,"Match","Mismatch"))</x:f>
        <x:v>Mismatch</x:v>
      </x:c>
      <x:c r="AE193" t="str">
        <x:f>IF(OR(AC193="Open",AD193="Open"),"Open",IF(AND(AC193="Match",AD193="Match",W193=T193),"Matched","Exception"))</x:f>
        <x:v>Exception</x:v>
      </x:c>
      <x:c r="AF193" s="40" t="n">
        <x:f>MAX(L193-T193,0)</x:f>
        <x:v>0</x:v>
      </x:c>
    </x:row>
    <x:row r="194">
      <x:c r="A194" t="str">
        <x:v>PR100193</x:v>
      </x:c>
      <x:c r="B194" s="36" t="n">
        <x:v>46202</x:v>
      </x:c>
      <x:c r="C194" t="str">
        <x:v>Facilities</x:v>
      </x:c>
      <x:c r="D194" t="str">
        <x:v>PRJ-002</x:v>
      </x:c>
      <x:c r="E194" t="str">
        <x:v>MAT028</x:v>
      </x:c>
      <x:c r="F194" t="str">
        <x:v>Exterior Paint 20L</x:v>
      </x:c>
      <x:c r="G194" t="str">
        <x:v>Finishes</x:v>
      </x:c>
      <x:c r="H194" t="str">
        <x:v>CAN</x:v>
      </x:c>
      <x:c r="I194" t="str">
        <x:v>SUP010</x:v>
      </x:c>
      <x:c r="J194" t="str">
        <x:v>Urban Infra Materials</x:v>
      </x:c>
      <x:c r="K194" t="str">
        <x:v>Karnataka</x:v>
      </x:c>
      <x:c r="L194" s="40" t="n">
        <x:v>30</x:v>
      </x:c>
      <x:c r="M194" t="str">
        <x:v>PO200193</x:v>
      </x:c>
      <x:c r="N194" s="36" t="n">
        <x:v>46207</x:v>
      </x:c>
      <x:c r="O194" s="38" t="n">
        <x:v>3751.23</x:v>
      </x:c>
      <x:c r="P194" t="str">
        <x:v>45 Days</x:v>
      </x:c>
      <x:c r="Q194" t="str">
        <x:v>A. Reddy</x:v>
      </x:c>
      <x:c r="R194" s="36" t="n">
        <x:v>46223</x:v>
      </x:c>
      <x:c r="S194" s="36" t="n">
        <x:v>46223</x:v>
      </x:c>
      <x:c r="T194" s="40" t="n">
        <x:v>30</x:v>
      </x:c>
      <x:c r="U194" t="str">
        <x:v>INV300193</x:v>
      </x:c>
      <x:c r="V194" s="36" t="n">
        <x:v>46229</x:v>
      </x:c>
      <x:c r="W194" s="40" t="n">
        <x:v>30</x:v>
      </x:c>
      <x:c r="X194" s="38" t="n">
        <x:v>112536.9</x:v>
      </x:c>
      <x:c r="Y194" t="str">
        <x:v>Paid</x:v>
      </x:c>
      <x:c r="Z194" s="38" t="n">
        <x:f>ROUND(L194*O194,2)</x:f>
        <x:v>112536.9</x:v>
      </x:c>
      <x:c r="AA194" t="n">
        <x:f>IF(S194="","",S194-N194)</x:f>
        <x:v>16</x:v>
      </x:c>
      <x:c r="AB194" t="str">
        <x:f>IF(S194="","Open",IF(S194&lt;=R194,"On Time","Late"))</x:f>
        <x:v>On Time</x:v>
      </x:c>
      <x:c r="AC194" t="str">
        <x:f>IF(S194="","Open",IF(T194=L194,"Match","Mismatch"))</x:f>
        <x:v>Match</x:v>
      </x:c>
      <x:c r="AD194" t="str">
        <x:f>IF(V194="","Open",IF(ABS(X194-Z194)&lt;=1,"Match","Mismatch"))</x:f>
        <x:v>Match</x:v>
      </x:c>
      <x:c r="AE194" t="str">
        <x:f>IF(OR(AC194="Open",AD194="Open"),"Open",IF(AND(AC194="Match",AD194="Match",W194=T194),"Matched","Exception"))</x:f>
        <x:v>Matched</x:v>
      </x:c>
      <x:c r="AF194" s="40" t="n">
        <x:f>MAX(L194-T194,0)</x:f>
        <x:v>0</x:v>
      </x:c>
    </x:row>
    <x:row r="195">
      <x:c r="A195" t="str">
        <x:v>PR100194</x:v>
      </x:c>
      <x:c r="B195" s="36" t="n">
        <x:v>46051</x:v>
      </x:c>
      <x:c r="C195" t="str">
        <x:v>Civil Projects</x:v>
      </x:c>
      <x:c r="D195" t="str">
        <x:v>PRJ-005</x:v>
      </x:c>
      <x:c r="E195" t="str">
        <x:v>MAT025</x:v>
      </x:c>
      <x:c r="F195" t="str">
        <x:v>Shuttering Plywood 12mm</x:v>
      </x:c>
      <x:c r="G195" t="str">
        <x:v>Formwork</x:v>
      </x:c>
      <x:c r="H195" t="str">
        <x:v>SHEET</x:v>
      </x:c>
      <x:c r="I195" t="str">
        <x:v>SUP012</x:v>
      </x:c>
      <x:c r="J195" t="str">
        <x:v>GreenField Construction Supply</x:v>
      </x:c>
      <x:c r="K195" t="str">
        <x:v>Telangana</x:v>
      </x:c>
      <x:c r="L195" s="40" t="n">
        <x:v>10</x:v>
      </x:c>
      <x:c r="M195" t="str">
        <x:v>PO200194</x:v>
      </x:c>
      <x:c r="N195" s="36" t="n">
        <x:v>46051</x:v>
      </x:c>
      <x:c r="O195" s="38" t="n">
        <x:v>1225.86</x:v>
      </x:c>
      <x:c r="P195" t="str">
        <x:v>45 Days</x:v>
      </x:c>
      <x:c r="Q195" t="str">
        <x:v>A. Reddy</x:v>
      </x:c>
      <x:c r="R195" s="36" t="n">
        <x:v>46065</x:v>
      </x:c>
      <x:c r="S195" s="36" t="n">
        <x:v>46065</x:v>
      </x:c>
      <x:c r="T195" s="40" t="n">
        <x:v>10</x:v>
      </x:c>
      <x:c r="U195" t="str">
        <x:v>INV300194</x:v>
      </x:c>
      <x:c r="V195" s="36" t="n">
        <x:v>46069</x:v>
      </x:c>
      <x:c r="W195" s="40" t="n">
        <x:v>10</x:v>
      </x:c>
      <x:c r="X195" s="38" t="n">
        <x:v>12258.6</x:v>
      </x:c>
      <x:c r="Y195" t="str">
        <x:v>Paid</x:v>
      </x:c>
      <x:c r="Z195" s="38" t="n">
        <x:f>ROUND(L195*O195,2)</x:f>
        <x:v>12258.6</x:v>
      </x:c>
      <x:c r="AA195" t="n">
        <x:f>IF(S195="","",S195-N195)</x:f>
        <x:v>14</x:v>
      </x:c>
      <x:c r="AB195" t="str">
        <x:f>IF(S195="","Open",IF(S195&lt;=R195,"On Time","Late"))</x:f>
        <x:v>On Time</x:v>
      </x:c>
      <x:c r="AC195" t="str">
        <x:f>IF(S195="","Open",IF(T195=L195,"Match","Mismatch"))</x:f>
        <x:v>Match</x:v>
      </x:c>
      <x:c r="AD195" t="str">
        <x:f>IF(V195="","Open",IF(ABS(X195-Z195)&lt;=1,"Match","Mismatch"))</x:f>
        <x:v>Match</x:v>
      </x:c>
      <x:c r="AE195" t="str">
        <x:f>IF(OR(AC195="Open",AD195="Open"),"Open",IF(AND(AC195="Match",AD195="Match",W195=T195),"Matched","Exception"))</x:f>
        <x:v>Matched</x:v>
      </x:c>
      <x:c r="AF195" s="40" t="n">
        <x:f>MAX(L195-T195,0)</x:f>
        <x:v>0</x:v>
      </x:c>
    </x:row>
    <x:row r="196">
      <x:c r="A196" t="str">
        <x:v>PR100195</x:v>
      </x:c>
      <x:c r="B196" s="36" t="n">
        <x:v>46097</x:v>
      </x:c>
      <x:c r="C196" t="str">
        <x:v>Maintenance</x:v>
      </x:c>
      <x:c r="D196" t="str">
        <x:v>PRJ-005</x:v>
      </x:c>
      <x:c r="E196" t="str">
        <x:v>MAT034</x:v>
      </x:c>
      <x:c r="F196" t="str">
        <x:v>Industrial Adhesive</x:v>
      </x:c>
      <x:c r="G196" t="str">
        <x:v>Consumables</x:v>
      </x:c>
      <x:c r="H196" t="str">
        <x:v>KG</x:v>
      </x:c>
      <x:c r="I196" t="str">
        <x:v>SUP009</x:v>
      </x:c>
      <x:c r="J196" t="str">
        <x:v>Nava Bharat Hardware</x:v>
      </x:c>
      <x:c r="K196" t="str">
        <x:v>Andhra Pradesh</x:v>
      </x:c>
      <x:c r="L196" s="40" t="n">
        <x:v>2000</x:v>
      </x:c>
      <x:c r="M196" t="str">
        <x:v>PO200195</x:v>
      </x:c>
      <x:c r="N196" s="36" t="n">
        <x:v>46100</x:v>
      </x:c>
      <x:c r="O196" s="38" t="n">
        <x:v>395.3</x:v>
      </x:c>
      <x:c r="P196" t="str">
        <x:v>30 Days</x:v>
      </x:c>
      <x:c r="Q196" t="str">
        <x:v>A. Reddy</x:v>
      </x:c>
      <x:c r="R196" s="36" t="n">
        <x:v>46112</x:v>
      </x:c>
      <x:c r="S196" s="36" t="n">
        <x:v>46116</x:v>
      </x:c>
      <x:c r="T196" s="40" t="n">
        <x:v>2000</x:v>
      </x:c>
      <x:c r="U196" t="str">
        <x:v>INV300195</x:v>
      </x:c>
      <x:c r="V196" s="36" t="n">
        <x:v>46123</x:v>
      </x:c>
      <x:c r="W196" s="40" t="n">
        <x:v>2000</x:v>
      </x:c>
      <x:c r="X196" s="38" t="n">
        <x:v>790600</x:v>
      </x:c>
      <x:c r="Y196" t="str">
        <x:v>Paid</x:v>
      </x:c>
      <x:c r="Z196" s="38" t="n">
        <x:f>ROUND(L196*O196,2)</x:f>
        <x:v>790600</x:v>
      </x:c>
      <x:c r="AA196" t="n">
        <x:f>IF(S196="","",S196-N196)</x:f>
        <x:v>16</x:v>
      </x:c>
      <x:c r="AB196" t="str">
        <x:f>IF(S196="","Open",IF(S196&lt;=R196,"On Time","Late"))</x:f>
        <x:v>Late</x:v>
      </x:c>
      <x:c r="AC196" t="str">
        <x:f>IF(S196="","Open",IF(T196=L196,"Match","Mismatch"))</x:f>
        <x:v>Match</x:v>
      </x:c>
      <x:c r="AD196" t="str">
        <x:f>IF(V196="","Open",IF(ABS(X196-Z196)&lt;=1,"Match","Mismatch"))</x:f>
        <x:v>Match</x:v>
      </x:c>
      <x:c r="AE196" t="str">
        <x:f>IF(OR(AC196="Open",AD196="Open"),"Open",IF(AND(AC196="Match",AD196="Match",W196=T196),"Matched","Exception"))</x:f>
        <x:v>Matched</x:v>
      </x:c>
      <x:c r="AF196" s="40" t="n">
        <x:f>MAX(L196-T196,0)</x:f>
        <x:v>0</x:v>
      </x:c>
    </x:row>
    <x:row r="197">
      <x:c r="A197" t="str">
        <x:v>PR100196</x:v>
      </x:c>
      <x:c r="B197" s="36" t="n">
        <x:v>46133</x:v>
      </x:c>
      <x:c r="C197" t="str">
        <x:v>Civil Projects</x:v>
      </x:c>
      <x:c r="D197" t="str">
        <x:v>PRJ-005</x:v>
      </x:c>
      <x:c r="E197" t="str">
        <x:v>MAT036</x:v>
      </x:c>
      <x:c r="F197" t="str">
        <x:v>Cutting Disc 4 inch</x:v>
      </x:c>
      <x:c r="G197" t="str">
        <x:v>Consumables</x:v>
      </x:c>
      <x:c r="H197" t="str">
        <x:v>EA</x:v>
      </x:c>
      <x:c r="I197" t="str">
        <x:v>SUP009</x:v>
      </x:c>
      <x:c r="J197" t="str">
        <x:v>Nava Bharat Hardware</x:v>
      </x:c>
      <x:c r="K197" t="str">
        <x:v>Andhra Pradesh</x:v>
      </x:c>
      <x:c r="L197" s="40" t="n">
        <x:v>10</x:v>
      </x:c>
      <x:c r="M197" t="str">
        <x:v>PO200196</x:v>
      </x:c>
      <x:c r="N197" s="36" t="n">
        <x:v>46138</x:v>
      </x:c>
      <x:c r="O197" s="38" t="n">
        <x:v>44.27</x:v>
      </x:c>
      <x:c r="P197" t="str">
        <x:v>60 Days</x:v>
      </x:c>
      <x:c r="Q197" t="str">
        <x:v>S. Kumar</x:v>
      </x:c>
      <x:c r="R197" s="36" t="n">
        <x:v>46145</x:v>
      </x:c>
      <x:c r="S197" s="36" t="n">
        <x:v>46155</x:v>
      </x:c>
      <x:c r="T197" s="40" t="n">
        <x:v>10</x:v>
      </x:c>
      <x:c r="U197" t="str">
        <x:v>INV300196</x:v>
      </x:c>
      <x:c r="V197" s="36" t="n">
        <x:v>46157</x:v>
      </x:c>
      <x:c r="W197" s="40" t="n">
        <x:v>10</x:v>
      </x:c>
      <x:c r="X197" s="38" t="n">
        <x:v>442.7</x:v>
      </x:c>
      <x:c r="Y197" t="str">
        <x:v>Paid</x:v>
      </x:c>
      <x:c r="Z197" s="38" t="n">
        <x:f>ROUND(L197*O197,2)</x:f>
        <x:v>442.7</x:v>
      </x:c>
      <x:c r="AA197" t="n">
        <x:f>IF(S197="","",S197-N197)</x:f>
        <x:v>17</x:v>
      </x:c>
      <x:c r="AB197" t="str">
        <x:f>IF(S197="","Open",IF(S197&lt;=R197,"On Time","Late"))</x:f>
        <x:v>Late</x:v>
      </x:c>
      <x:c r="AC197" t="str">
        <x:f>IF(S197="","Open",IF(T197=L197,"Match","Mismatch"))</x:f>
        <x:v>Match</x:v>
      </x:c>
      <x:c r="AD197" t="str">
        <x:f>IF(V197="","Open",IF(ABS(X197-Z197)&lt;=1,"Match","Mismatch"))</x:f>
        <x:v>Match</x:v>
      </x:c>
      <x:c r="AE197" t="str">
        <x:f>IF(OR(AC197="Open",AD197="Open"),"Open",IF(AND(AC197="Match",AD197="Match",W197=T197),"Matched","Exception"))</x:f>
        <x:v>Matched</x:v>
      </x:c>
      <x:c r="AF197" s="40" t="n">
        <x:f>MAX(L197-T197,0)</x:f>
        <x:v>0</x:v>
      </x:c>
    </x:row>
    <x:row r="198">
      <x:c r="A198" t="str">
        <x:v>PR100197</x:v>
      </x:c>
      <x:c r="B198" s="36" t="n">
        <x:v>46162</x:v>
      </x:c>
      <x:c r="C198" t="str">
        <x:v>Facilities</x:v>
      </x:c>
      <x:c r="D198" t="str">
        <x:v>PRJ-003</x:v>
      </x:c>
      <x:c r="E198" t="str">
        <x:v>MAT030</x:v>
      </x:c>
      <x:c r="F198" t="str">
        <x:v>Waterproofing Compound 20L</x:v>
      </x:c>
      <x:c r="G198" t="str">
        <x:v>Finishes</x:v>
      </x:c>
      <x:c r="H198" t="str">
        <x:v>CAN</x:v>
      </x:c>
      <x:c r="I198" t="str">
        <x:v>SUP011</x:v>
      </x:c>
      <x:c r="J198" t="str">
        <x:v>Vertex Industrial Supply</x:v>
      </x:c>
      <x:c r="K198" t="str">
        <x:v>Maharashtra</x:v>
      </x:c>
      <x:c r="L198" s="40" t="n">
        <x:v>25</x:v>
      </x:c>
      <x:c r="M198" t="str">
        <x:v>PO200197</x:v>
      </x:c>
      <x:c r="N198" s="36" t="n">
        <x:v>46166</x:v>
      </x:c>
      <x:c r="O198" s="38" t="n">
        <x:v>2639.5</x:v>
      </x:c>
      <x:c r="P198" t="str">
        <x:v>45 Days</x:v>
      </x:c>
      <x:c r="Q198" t="str">
        <x:v>M. Priya</x:v>
      </x:c>
      <x:c r="R198" s="36" t="n">
        <x:v>46171</x:v>
      </x:c>
      <x:c r="S198" s="36" t="n">
        <x:v>46169</x:v>
      </x:c>
      <x:c r="T198" s="40" t="n">
        <x:v>25</x:v>
      </x:c>
      <x:c r="U198" t="str">
        <x:v>INV300197</x:v>
      </x:c>
      <x:c r="V198" s="36" t="n">
        <x:v>46170</x:v>
      </x:c>
      <x:c r="W198" s="40" t="n">
        <x:v>25</x:v>
      </x:c>
      <x:c r="X198" s="38" t="n">
        <x:v>65987.5</x:v>
      </x:c>
      <x:c r="Y198" t="str">
        <x:v>Paid</x:v>
      </x:c>
      <x:c r="Z198" s="38" t="n">
        <x:f>ROUND(L198*O198,2)</x:f>
        <x:v>65987.5</x:v>
      </x:c>
      <x:c r="AA198" t="n">
        <x:f>IF(S198="","",S198-N198)</x:f>
        <x:v>3</x:v>
      </x:c>
      <x:c r="AB198" t="str">
        <x:f>IF(S198="","Open",IF(S198&lt;=R198,"On Time","Late"))</x:f>
        <x:v>On Time</x:v>
      </x:c>
      <x:c r="AC198" t="str">
        <x:f>IF(S198="","Open",IF(T198=L198,"Match","Mismatch"))</x:f>
        <x:v>Match</x:v>
      </x:c>
      <x:c r="AD198" t="str">
        <x:f>IF(V198="","Open",IF(ABS(X198-Z198)&lt;=1,"Match","Mismatch"))</x:f>
        <x:v>Match</x:v>
      </x:c>
      <x:c r="AE198" t="str">
        <x:f>IF(OR(AC198="Open",AD198="Open"),"Open",IF(AND(AC198="Match",AD198="Match",W198=T198),"Matched","Exception"))</x:f>
        <x:v>Matched</x:v>
      </x:c>
      <x:c r="AF198" s="40" t="n">
        <x:f>MAX(L198-T198,0)</x:f>
        <x:v>0</x:v>
      </x:c>
    </x:row>
    <x:row r="199">
      <x:c r="A199" t="str">
        <x:v>PR100198</x:v>
      </x:c>
      <x:c r="B199" s="36" t="n">
        <x:v>46074</x:v>
      </x:c>
      <x:c r="C199" t="str">
        <x:v>Civil Projects</x:v>
      </x:c>
      <x:c r="D199" t="str">
        <x:v>PRJ-003</x:v>
      </x:c>
      <x:c r="E199" t="str">
        <x:v>MAT029</x:v>
      </x:c>
      <x:c r="F199" t="str">
        <x:v>Ceramic Floor Tile</x:v>
      </x:c>
      <x:c r="G199" t="str">
        <x:v>Finishes</x:v>
      </x:c>
      <x:c r="H199" t="str">
        <x:v>SQM</x:v>
      </x:c>
      <x:c r="I199" t="str">
        <x:v>SUP011</x:v>
      </x:c>
      <x:c r="J199" t="str">
        <x:v>Vertex Industrial Supply</x:v>
      </x:c>
      <x:c r="K199" t="str">
        <x:v>Maharashtra</x:v>
      </x:c>
      <x:c r="L199" s="40" t="n">
        <x:v>8</x:v>
      </x:c>
      <x:c r="M199" t="str">
        <x:v>PO200198</x:v>
      </x:c>
      <x:c r="N199" s="36" t="n">
        <x:v>46077</x:v>
      </x:c>
      <x:c r="O199" s="38" t="n">
        <x:v>674.66</x:v>
      </x:c>
      <x:c r="P199" t="str">
        <x:v>60 Days</x:v>
      </x:c>
      <x:c r="Q199" t="str">
        <x:v>A. Reddy</x:v>
      </x:c>
      <x:c r="R199" s="36" t="n">
        <x:v>46083</x:v>
      </x:c>
      <x:c r="S199" s="36" t="n">
        <x:v>46080</x:v>
      </x:c>
      <x:c r="T199" s="40" t="n">
        <x:v>8</x:v>
      </x:c>
      <x:c r="U199" t="str">
        <x:v>INV300198</x:v>
      </x:c>
      <x:c r="V199" s="36" t="n">
        <x:v>46084</x:v>
      </x:c>
      <x:c r="W199" s="40" t="n">
        <x:v>8</x:v>
      </x:c>
      <x:c r="X199" s="38" t="n">
        <x:v>5397.28</x:v>
      </x:c>
      <x:c r="Y199" t="str">
        <x:v>Pending Approval</x:v>
      </x:c>
      <x:c r="Z199" s="38" t="n">
        <x:f>ROUND(L199*O199,2)</x:f>
        <x:v>5397.28</x:v>
      </x:c>
      <x:c r="AA199" t="n">
        <x:f>IF(S199="","",S199-N199)</x:f>
        <x:v>3</x:v>
      </x:c>
      <x:c r="AB199" t="str">
        <x:f>IF(S199="","Open",IF(S199&lt;=R199,"On Time","Late"))</x:f>
        <x:v>On Time</x:v>
      </x:c>
      <x:c r="AC199" t="str">
        <x:f>IF(S199="","Open",IF(T199=L199,"Match","Mismatch"))</x:f>
        <x:v>Match</x:v>
      </x:c>
      <x:c r="AD199" t="str">
        <x:f>IF(V199="","Open",IF(ABS(X199-Z199)&lt;=1,"Match","Mismatch"))</x:f>
        <x:v>Match</x:v>
      </x:c>
      <x:c r="AE199" t="str">
        <x:f>IF(OR(AC199="Open",AD199="Open"),"Open",IF(AND(AC199="Match",AD199="Match",W199=T199),"Matched","Exception"))</x:f>
        <x:v>Matched</x:v>
      </x:c>
      <x:c r="AF199" s="40" t="n">
        <x:f>MAX(L199-T199,0)</x:f>
        <x:v>0</x:v>
      </x:c>
    </x:row>
    <x:row r="200">
      <x:c r="A200" t="str">
        <x:v>PR100199</x:v>
      </x:c>
      <x:c r="B200" s="36" t="n">
        <x:v>46240</x:v>
      </x:c>
      <x:c r="C200" t="str">
        <x:v>Maintenance</x:v>
      </x:c>
      <x:c r="D200" t="str">
        <x:v>PRJ-002</x:v>
      </x:c>
      <x:c r="E200" t="str">
        <x:v>MAT011</x:v>
      </x:c>
      <x:c r="F200" t="str">
        <x:v>Red Clay Brick</x:v>
      </x:c>
      <x:c r="G200" t="str">
        <x:v>Masonry</x:v>
      </x:c>
      <x:c r="H200" t="str">
        <x:v>EA</x:v>
      </x:c>
      <x:c r="I200" t="str">
        <x:v>SUP009</x:v>
      </x:c>
      <x:c r="J200" t="str">
        <x:v>Nava Bharat Hardware</x:v>
      </x:c>
      <x:c r="K200" t="str">
        <x:v>Andhra Pradesh</x:v>
      </x:c>
      <x:c r="L200" s="40" t="n">
        <x:v>100</x:v>
      </x:c>
      <x:c r="M200" t="str">
        <x:v>PO200199</x:v>
      </x:c>
      <x:c r="N200" s="36" t="n">
        <x:v>46246</x:v>
      </x:c>
      <x:c r="O200" s="38" t="n">
        <x:v>10.48</x:v>
      </x:c>
      <x:c r="P200" t="str">
        <x:v>45 Days</x:v>
      </x:c>
      <x:c r="Q200" t="str">
        <x:v>R. Sharma</x:v>
      </x:c>
      <x:c r="R200" s="36" t="n">
        <x:v>46260</x:v>
      </x:c>
      <x:c r="S200" s="36" t="n">
        <x:v>46260</x:v>
      </x:c>
      <x:c r="T200" s="40" t="n">
        <x:v>100</x:v>
      </x:c>
      <x:c r="U200" t="str">
        <x:v>INV300199</x:v>
      </x:c>
      <x:c r="V200" s="36" t="n">
        <x:v>46267</x:v>
      </x:c>
      <x:c r="W200" s="40" t="n">
        <x:v>100</x:v>
      </x:c>
      <x:c r="X200" s="38" t="n">
        <x:v>1048</x:v>
      </x:c>
      <x:c r="Y200" t="str">
        <x:v>Paid</x:v>
      </x:c>
      <x:c r="Z200" s="38" t="n">
        <x:f>ROUND(L200*O200,2)</x:f>
        <x:v>1048</x:v>
      </x:c>
      <x:c r="AA200" t="n">
        <x:f>IF(S200="","",S200-N200)</x:f>
        <x:v>14</x:v>
      </x:c>
      <x:c r="AB200" t="str">
        <x:f>IF(S200="","Open",IF(S200&lt;=R200,"On Time","Late"))</x:f>
        <x:v>On Time</x:v>
      </x:c>
      <x:c r="AC200" t="str">
        <x:f>IF(S200="","Open",IF(T200=L200,"Match","Mismatch"))</x:f>
        <x:v>Match</x:v>
      </x:c>
      <x:c r="AD200" t="str">
        <x:f>IF(V200="","Open",IF(ABS(X200-Z200)&lt;=1,"Match","Mismatch"))</x:f>
        <x:v>Match</x:v>
      </x:c>
      <x:c r="AE200" t="str">
        <x:f>IF(OR(AC200="Open",AD200="Open"),"Open",IF(AND(AC200="Match",AD200="Match",W200=T200),"Matched","Exception"))</x:f>
        <x:v>Matched</x:v>
      </x:c>
      <x:c r="AF200" s="40" t="n">
        <x:f>MAX(L200-T200,0)</x:f>
        <x:v>0</x:v>
      </x:c>
    </x:row>
    <x:row r="201">
      <x:c r="A201" t="str">
        <x:v>PR100200</x:v>
      </x:c>
      <x:c r="B201" s="36" t="n">
        <x:v>46160</x:v>
      </x:c>
      <x:c r="C201" t="str">
        <x:v>Facilities</x:v>
      </x:c>
      <x:c r="D201" t="str">
        <x:v>PRJ-008</x:v>
      </x:c>
      <x:c r="E201" t="str">
        <x:v>MAT003</x:v>
      </x:c>
      <x:c r="F201" t="str">
        <x:v>Ready Mix Concrete M25</x:v>
      </x:c>
      <x:c r="G201" t="str">
        <x:v>Cement &amp; Concrete</x:v>
      </x:c>
      <x:c r="H201" t="str">
        <x:v>M3</x:v>
      </x:c>
      <x:c r="I201" t="str">
        <x:v>SUP001</x:v>
      </x:c>
      <x:c r="J201" t="str">
        <x:v>Deccan Cement Supplies</x:v>
      </x:c>
      <x:c r="K201" t="str">
        <x:v>Telangana</x:v>
      </x:c>
      <x:c r="L201" s="40" t="n">
        <x:v>40</x:v>
      </x:c>
      <x:c r="M201" t="str">
        <x:v>PO200200</x:v>
      </x:c>
      <x:c r="N201" s="36" t="n">
        <x:v>46162</x:v>
      </x:c>
      <x:c r="O201" s="38" t="n">
        <x:v>5502.41</x:v>
      </x:c>
      <x:c r="P201" t="str">
        <x:v>45 Days</x:v>
      </x:c>
      <x:c r="Q201" t="str">
        <x:v>R. Sharma</x:v>
      </x:c>
      <x:c r="R201" s="36" t="n">
        <x:v>46177</x:v>
      </x:c>
      <x:c r="S201" s="36" t="n">
        <x:v>46175</x:v>
      </x:c>
      <x:c r="T201" s="40" t="n">
        <x:v>40</x:v>
      </x:c>
      <x:c r="U201" t="str">
        <x:v>INV300200</x:v>
      </x:c>
      <x:c r="V201" s="36" t="n">
        <x:v>46181</x:v>
      </x:c>
      <x:c r="W201" s="40" t="n">
        <x:v>40</x:v>
      </x:c>
      <x:c r="X201" s="38" t="n">
        <x:v>220096.4</x:v>
      </x:c>
      <x:c r="Y201" t="str">
        <x:v>Paid</x:v>
      </x:c>
      <x:c r="Z201" s="38" t="n">
        <x:f>ROUND(L201*O201,2)</x:f>
        <x:v>220096.4</x:v>
      </x:c>
      <x:c r="AA201" t="n">
        <x:f>IF(S201="","",S201-N201)</x:f>
        <x:v>13</x:v>
      </x:c>
      <x:c r="AB201" t="str">
        <x:f>IF(S201="","Open",IF(S201&lt;=R201,"On Time","Late"))</x:f>
        <x:v>On Time</x:v>
      </x:c>
      <x:c r="AC201" t="str">
        <x:f>IF(S201="","Open",IF(T201=L201,"Match","Mismatch"))</x:f>
        <x:v>Match</x:v>
      </x:c>
      <x:c r="AD201" t="str">
        <x:f>IF(V201="","Open",IF(ABS(X201-Z201)&lt;=1,"Match","Mismatch"))</x:f>
        <x:v>Match</x:v>
      </x:c>
      <x:c r="AE201" t="str">
        <x:f>IF(OR(AC201="Open",AD201="Open"),"Open",IF(AND(AC201="Match",AD201="Match",W201=T201),"Matched","Exception"))</x:f>
        <x:v>Matched</x:v>
      </x:c>
      <x:c r="AF201" s="40" t="n">
        <x:f>MAX(L201-T201,0)</x:f>
        <x:v>0</x:v>
      </x:c>
    </x:row>
    <x:row r="202">
      <x:c r="A202" t="str">
        <x:v>PR100201</x:v>
      </x:c>
      <x:c r="B202" s="36" t="n">
        <x:v>46032</x:v>
      </x:c>
      <x:c r="C202" t="str">
        <x:v>Maintenance</x:v>
      </x:c>
      <x:c r="D202" t="str">
        <x:v>PRJ-007</x:v>
      </x:c>
      <x:c r="E202" t="str">
        <x:v>MAT010</x:v>
      </x:c>
      <x:c r="F202" t="str">
        <x:v>AAC Block 600x200x200</x:v>
      </x:c>
      <x:c r="G202" t="str">
        <x:v>Masonry</x:v>
      </x:c>
      <x:c r="H202" t="str">
        <x:v>EA</x:v>
      </x:c>
      <x:c r="I202" t="str">
        <x:v>SUP009</x:v>
      </x:c>
      <x:c r="J202" t="str">
        <x:v>Nava Bharat Hardware</x:v>
      </x:c>
      <x:c r="K202" t="str">
        <x:v>Andhra Pradesh</x:v>
      </x:c>
      <x:c r="L202" s="40" t="n">
        <x:v>100</x:v>
      </x:c>
      <x:c r="M202" t="str">
        <x:v>PO200201</x:v>
      </x:c>
      <x:c r="N202" s="36" t="n">
        <x:v>46035</x:v>
      </x:c>
      <x:c r="O202" s="38" t="n">
        <x:v>98.75</x:v>
      </x:c>
      <x:c r="P202" t="str">
        <x:v>30 Days</x:v>
      </x:c>
      <x:c r="Q202" t="str">
        <x:v>A. Reddy</x:v>
      </x:c>
      <x:c r="R202" s="36" t="n">
        <x:v>46052</x:v>
      </x:c>
      <x:c r="S202" s="36" t="n">
        <x:v>46060</x:v>
      </x:c>
      <x:c r="T202" s="40" t="n">
        <x:v>100</x:v>
      </x:c>
      <x:c r="U202" t="str">
        <x:v>INV300201</x:v>
      </x:c>
      <x:c r="V202" s="36" t="n">
        <x:v>46063</x:v>
      </x:c>
      <x:c r="W202" s="40" t="n">
        <x:v>100</x:v>
      </x:c>
      <x:c r="X202" s="38" t="n">
        <x:v>9677.5</x:v>
      </x:c>
      <x:c r="Y202" t="str">
        <x:v>Paid</x:v>
      </x:c>
      <x:c r="Z202" s="38" t="n">
        <x:f>ROUND(L202*O202,2)</x:f>
        <x:v>9875</x:v>
      </x:c>
      <x:c r="AA202" t="n">
        <x:f>IF(S202="","",S202-N202)</x:f>
        <x:v>25</x:v>
      </x:c>
      <x:c r="AB202" t="str">
        <x:f>IF(S202="","Open",IF(S202&lt;=R202,"On Time","Late"))</x:f>
        <x:v>Late</x:v>
      </x:c>
      <x:c r="AC202" t="str">
        <x:f>IF(S202="","Open",IF(T202=L202,"Match","Mismatch"))</x:f>
        <x:v>Match</x:v>
      </x:c>
      <x:c r="AD202" t="str">
        <x:f>IF(V202="","Open",IF(ABS(X202-Z202)&lt;=1,"Match","Mismatch"))</x:f>
        <x:v>Mismatch</x:v>
      </x:c>
      <x:c r="AE202" t="str">
        <x:f>IF(OR(AC202="Open",AD202="Open"),"Open",IF(AND(AC202="Match",AD202="Match",W202=T202),"Matched","Exception"))</x:f>
        <x:v>Exception</x:v>
      </x:c>
      <x:c r="AF202" s="40" t="n">
        <x:f>MAX(L202-T202,0)</x:f>
        <x:v>0</x:v>
      </x:c>
    </x:row>
    <x:row r="203">
      <x:c r="A203" t="str">
        <x:v>PR100202</x:v>
      </x:c>
      <x:c r="B203" s="36" t="n">
        <x:v>46256</x:v>
      </x:c>
      <x:c r="C203" t="str">
        <x:v>Operations</x:v>
      </x:c>
      <x:c r="D203" t="str">
        <x:v>PRJ-004</x:v>
      </x:c>
      <x:c r="E203" t="str">
        <x:v>MAT030</x:v>
      </x:c>
      <x:c r="F203" t="str">
        <x:v>Waterproofing Compound 20L</x:v>
      </x:c>
      <x:c r="G203" t="str">
        <x:v>Finishes</x:v>
      </x:c>
      <x:c r="H203" t="str">
        <x:v>CAN</x:v>
      </x:c>
      <x:c r="I203" t="str">
        <x:v>SUP011</x:v>
      </x:c>
      <x:c r="J203" t="str">
        <x:v>Vertex Industrial Supply</x:v>
      </x:c>
      <x:c r="K203" t="str">
        <x:v>Maharashtra</x:v>
      </x:c>
      <x:c r="L203" s="40" t="n">
        <x:v>50</x:v>
      </x:c>
      <x:c r="M203" t="str">
        <x:v>PO200202</x:v>
      </x:c>
      <x:c r="N203" s="36" t="n">
        <x:v>46258</x:v>
      </x:c>
      <x:c r="O203" s="38" t="n">
        <x:v>2306.35</x:v>
      </x:c>
      <x:c r="P203" t="str">
        <x:v>60 Days</x:v>
      </x:c>
      <x:c r="Q203" t="str">
        <x:v>R. Sharma</x:v>
      </x:c>
      <x:c r="R203" s="36" t="n">
        <x:v>46269</x:v>
      </x:c>
      <x:c r="S203" s="36" t="n">
        <x:v>46269</x:v>
      </x:c>
      <x:c r="T203" s="40" t="n">
        <x:v>50</x:v>
      </x:c>
      <x:c r="U203" t="str">
        <x:v>INV300202</x:v>
      </x:c>
      <x:c r="V203" s="36" t="n">
        <x:v>46270</x:v>
      </x:c>
      <x:c r="W203" s="40" t="n">
        <x:v>50</x:v>
      </x:c>
      <x:c r="X203" s="38" t="n">
        <x:v>110704.8</x:v>
      </x:c>
      <x:c r="Y203" t="str">
        <x:v>Pending Approval</x:v>
      </x:c>
      <x:c r="Z203" s="38" t="n">
        <x:f>ROUND(L203*O203,2)</x:f>
        <x:v>115317.5</x:v>
      </x:c>
      <x:c r="AA203" t="n">
        <x:f>IF(S203="","",S203-N203)</x:f>
        <x:v>11</x:v>
      </x:c>
      <x:c r="AB203" t="str">
        <x:f>IF(S203="","Open",IF(S203&lt;=R203,"On Time","Late"))</x:f>
        <x:v>On Time</x:v>
      </x:c>
      <x:c r="AC203" t="str">
        <x:f>IF(S203="","Open",IF(T203=L203,"Match","Mismatch"))</x:f>
        <x:v>Match</x:v>
      </x:c>
      <x:c r="AD203" t="str">
        <x:f>IF(V203="","Open",IF(ABS(X203-Z203)&lt;=1,"Match","Mismatch"))</x:f>
        <x:v>Mismatch</x:v>
      </x:c>
      <x:c r="AE203" t="str">
        <x:f>IF(OR(AC203="Open",AD203="Open"),"Open",IF(AND(AC203="Match",AD203="Match",W203=T203),"Matched","Exception"))</x:f>
        <x:v>Exception</x:v>
      </x:c>
      <x:c r="AF203" s="40" t="n">
        <x:f>MAX(L203-T203,0)</x:f>
        <x:v>0</x:v>
      </x:c>
    </x:row>
    <x:row r="204">
      <x:c r="A204" t="str">
        <x:v>PR100203</x:v>
      </x:c>
      <x:c r="B204" s="36" t="n">
        <x:v>46054</x:v>
      </x:c>
      <x:c r="C204" t="str">
        <x:v>Operations</x:v>
      </x:c>
      <x:c r="D204" t="str">
        <x:v>PRJ-005</x:v>
      </x:c>
      <x:c r="E204" t="str">
        <x:v>MAT022</x:v>
      </x:c>
      <x:c r="F204" t="str">
        <x:v>Hammer Drill</x:v>
      </x:c>
      <x:c r="G204" t="str">
        <x:v>Tools</x:v>
      </x:c>
      <x:c r="H204" t="str">
        <x:v>EA</x:v>
      </x:c>
      <x:c r="I204" t="str">
        <x:v>SUP009</x:v>
      </x:c>
      <x:c r="J204" t="str">
        <x:v>Nava Bharat Hardware</x:v>
      </x:c>
      <x:c r="K204" t="str">
        <x:v>Andhra Pradesh</x:v>
      </x:c>
      <x:c r="L204" s="40" t="n">
        <x:v>150</x:v>
      </x:c>
      <x:c r="M204" t="str">
        <x:v>PO200203</x:v>
      </x:c>
      <x:c r="N204" s="36" t="n">
        <x:v>46056</x:v>
      </x:c>
      <x:c r="O204" s="38" t="n">
        <x:v>7195.32</x:v>
      </x:c>
      <x:c r="P204" t="str">
        <x:v>60 Days</x:v>
      </x:c>
      <x:c r="Q204" t="str">
        <x:v>M. Priya</x:v>
      </x:c>
      <x:c r="R204" s="36" t="n">
        <x:v>46065</x:v>
      </x:c>
      <x:c r="S204" s="36" t="n">
        <x:v>46063</x:v>
      </x:c>
      <x:c r="T204" s="40" t="n">
        <x:v>150</x:v>
      </x:c>
      <x:c r="U204" t="str">
        <x:v>INV300203</x:v>
      </x:c>
      <x:c r="V204" s="36" t="n">
        <x:v>46064</x:v>
      </x:c>
      <x:c r="W204" s="40" t="n">
        <x:v>150</x:v>
      </x:c>
      <x:c r="X204" s="38" t="n">
        <x:v>1079298</x:v>
      </x:c>
      <x:c r="Y204" t="str">
        <x:v>Paid</x:v>
      </x:c>
      <x:c r="Z204" s="38" t="n">
        <x:f>ROUND(L204*O204,2)</x:f>
        <x:v>1079298</x:v>
      </x:c>
      <x:c r="AA204" t="n">
        <x:f>IF(S204="","",S204-N204)</x:f>
        <x:v>7</x:v>
      </x:c>
      <x:c r="AB204" t="str">
        <x:f>IF(S204="","Open",IF(S204&lt;=R204,"On Time","Late"))</x:f>
        <x:v>On Time</x:v>
      </x:c>
      <x:c r="AC204" t="str">
        <x:f>IF(S204="","Open",IF(T204=L204,"Match","Mismatch"))</x:f>
        <x:v>Match</x:v>
      </x:c>
      <x:c r="AD204" t="str">
        <x:f>IF(V204="","Open",IF(ABS(X204-Z204)&lt;=1,"Match","Mismatch"))</x:f>
        <x:v>Match</x:v>
      </x:c>
      <x:c r="AE204" t="str">
        <x:f>IF(OR(AC204="Open",AD204="Open"),"Open",IF(AND(AC204="Match",AD204="Match",W204=T204),"Matched","Exception"))</x:f>
        <x:v>Matched</x:v>
      </x:c>
      <x:c r="AF204" s="40" t="n">
        <x:f>MAX(L204-T204,0)</x:f>
        <x:v>0</x:v>
      </x:c>
    </x:row>
    <x:row r="205">
      <x:c r="A205" t="str">
        <x:v>PR100204</x:v>
      </x:c>
      <x:c r="B205" s="36" t="n">
        <x:v>46111</x:v>
      </x:c>
      <x:c r="C205" t="str">
        <x:v>Maintenance</x:v>
      </x:c>
      <x:c r="D205" t="str">
        <x:v>PRJ-001</x:v>
      </x:c>
      <x:c r="E205" t="str">
        <x:v>MAT007</x:v>
      </x:c>
      <x:c r="F205" t="str">
        <x:v>River Sand</x:v>
      </x:c>
      <x:c r="G205" t="str">
        <x:v>Aggregates</x:v>
      </x:c>
      <x:c r="H205" t="str">
        <x:v>TON</x:v>
      </x:c>
      <x:c r="I205" t="str">
        <x:v>SUP003</x:v>
      </x:c>
      <x:c r="J205" t="str">
        <x:v>BuildRight Aggregates</x:v>
      </x:c>
      <x:c r="K205" t="str">
        <x:v>Telangana</x:v>
      </x:c>
      <x:c r="L205" s="40" t="n">
        <x:v>25</x:v>
      </x:c>
      <x:c r="M205" t="str">
        <x:v>PO200204</x:v>
      </x:c>
      <x:c r="N205" s="36" t="n">
        <x:v>46115</x:v>
      </x:c>
      <x:c r="O205" s="38" t="n">
        <x:v>1361.92</x:v>
      </x:c>
      <x:c r="P205" t="str">
        <x:v>60 Days</x:v>
      </x:c>
      <x:c r="Q205" t="str">
        <x:v>A. Reddy</x:v>
      </x:c>
      <x:c r="R205" s="36" t="n">
        <x:v>46132</x:v>
      </x:c>
      <x:c r="S205" s="36" t="n">
        <x:v>46129</x:v>
      </x:c>
      <x:c r="T205" s="40" t="n">
        <x:v>25</x:v>
      </x:c>
      <x:c r="U205" t="str">
        <x:v>INV300204</x:v>
      </x:c>
      <x:c r="V205" s="36" t="n">
        <x:v>46136</x:v>
      </x:c>
      <x:c r="W205" s="40" t="n">
        <x:v>25</x:v>
      </x:c>
      <x:c r="X205" s="38" t="n">
        <x:v>34048</x:v>
      </x:c>
      <x:c r="Y205" t="str">
        <x:v>Paid</x:v>
      </x:c>
      <x:c r="Z205" s="38" t="n">
        <x:f>ROUND(L205*O205,2)</x:f>
        <x:v>34048</x:v>
      </x:c>
      <x:c r="AA205" t="n">
        <x:f>IF(S205="","",S205-N205)</x:f>
        <x:v>14</x:v>
      </x:c>
      <x:c r="AB205" t="str">
        <x:f>IF(S205="","Open",IF(S205&lt;=R205,"On Time","Late"))</x:f>
        <x:v>On Time</x:v>
      </x:c>
      <x:c r="AC205" t="str">
        <x:f>IF(S205="","Open",IF(T205=L205,"Match","Mismatch"))</x:f>
        <x:v>Match</x:v>
      </x:c>
      <x:c r="AD205" t="str">
        <x:f>IF(V205="","Open",IF(ABS(X205-Z205)&lt;=1,"Match","Mismatch"))</x:f>
        <x:v>Match</x:v>
      </x:c>
      <x:c r="AE205" t="str">
        <x:f>IF(OR(AC205="Open",AD205="Open"),"Open",IF(AND(AC205="Match",AD205="Match",W205=T205),"Matched","Exception"))</x:f>
        <x:v>Matched</x:v>
      </x:c>
      <x:c r="AF205" s="40" t="n">
        <x:f>MAX(L205-T205,0)</x:f>
        <x:v>0</x:v>
      </x:c>
    </x:row>
    <x:row r="206">
      <x:c r="A206" t="str">
        <x:v>PR100205</x:v>
      </x:c>
      <x:c r="B206" s="36" t="n">
        <x:v>46285</x:v>
      </x:c>
      <x:c r="C206" t="str">
        <x:v>Facilities</x:v>
      </x:c>
      <x:c r="D206" t="str">
        <x:v>PRJ-002</x:v>
      </x:c>
      <x:c r="E206" t="str">
        <x:v>MAT029</x:v>
      </x:c>
      <x:c r="F206" t="str">
        <x:v>Ceramic Floor Tile</x:v>
      </x:c>
      <x:c r="G206" t="str">
        <x:v>Finishes</x:v>
      </x:c>
      <x:c r="H206" t="str">
        <x:v>SQM</x:v>
      </x:c>
      <x:c r="I206" t="str">
        <x:v>SUP011</x:v>
      </x:c>
      <x:c r="J206" t="str">
        <x:v>Vertex Industrial Supply</x:v>
      </x:c>
      <x:c r="K206" t="str">
        <x:v>Maharashtra</x:v>
      </x:c>
      <x:c r="L206" s="40" t="n">
        <x:v>40</x:v>
      </x:c>
      <x:c r="M206" t="str">
        <x:v>PO200205</x:v>
      </x:c>
      <x:c r="N206" s="36" t="n">
        <x:v>46287</x:v>
      </x:c>
      <x:c r="O206" s="38" t="n">
        <x:v>715.71</x:v>
      </x:c>
      <x:c r="P206" t="str">
        <x:v>45 Days</x:v>
      </x:c>
      <x:c r="Q206" t="str">
        <x:v>M. Priya</x:v>
      </x:c>
      <x:c r="R206" s="36" t="n">
        <x:v>46291</x:v>
      </x:c>
      <x:c r="S206" s="36" t="n">
        <x:v>46288</x:v>
      </x:c>
      <x:c r="T206" s="40" t="n">
        <x:v>40</x:v>
      </x:c>
      <x:c r="U206" t="str">
        <x:v>INV300205</x:v>
      </x:c>
      <x:c r="V206" s="36" t="n">
        <x:v>46295</x:v>
      </x:c>
      <x:c r="W206" s="40" t="n">
        <x:v>40</x:v>
      </x:c>
      <x:c r="X206" s="38" t="n">
        <x:v>28628.4</x:v>
      </x:c>
      <x:c r="Y206" t="str">
        <x:v>Paid</x:v>
      </x:c>
      <x:c r="Z206" s="38" t="n">
        <x:f>ROUND(L206*O206,2)</x:f>
        <x:v>28628.4</x:v>
      </x:c>
      <x:c r="AA206" t="n">
        <x:f>IF(S206="","",S206-N206)</x:f>
        <x:v>1</x:v>
      </x:c>
      <x:c r="AB206" t="str">
        <x:f>IF(S206="","Open",IF(S206&lt;=R206,"On Time","Late"))</x:f>
        <x:v>On Time</x:v>
      </x:c>
      <x:c r="AC206" t="str">
        <x:f>IF(S206="","Open",IF(T206=L206,"Match","Mismatch"))</x:f>
        <x:v>Match</x:v>
      </x:c>
      <x:c r="AD206" t="str">
        <x:f>IF(V206="","Open",IF(ABS(X206-Z206)&lt;=1,"Match","Mismatch"))</x:f>
        <x:v>Match</x:v>
      </x:c>
      <x:c r="AE206" t="str">
        <x:f>IF(OR(AC206="Open",AD206="Open"),"Open",IF(AND(AC206="Match",AD206="Match",W206=T206),"Matched","Exception"))</x:f>
        <x:v>Matched</x:v>
      </x:c>
      <x:c r="AF206" s="40" t="n">
        <x:f>MAX(L206-T206,0)</x:f>
        <x:v>0</x:v>
      </x:c>
    </x:row>
    <x:row r="207">
      <x:c r="A207" t="str">
        <x:v>PR100206</x:v>
      </x:c>
      <x:c r="B207" s="36" t="n">
        <x:v>46241</x:v>
      </x:c>
      <x:c r="C207" t="str">
        <x:v>Operations</x:v>
      </x:c>
      <x:c r="D207" t="str">
        <x:v>PRJ-004</x:v>
      </x:c>
      <x:c r="E207" t="str">
        <x:v>MAT033</x:v>
      </x:c>
      <x:c r="F207" t="str">
        <x:v>Barcode Labels</x:v>
      </x:c>
      <x:c r="G207" t="str">
        <x:v>Office Supplies</x:v>
      </x:c>
      <x:c r="H207" t="str">
        <x:v>PACK</x:v>
      </x:c>
      <x:c r="I207" t="str">
        <x:v>SUP008</x:v>
      </x:c>
      <x:c r="J207" t="str">
        <x:v>Prime Office Solutions</x:v>
      </x:c>
      <x:c r="K207" t="str">
        <x:v>Telangana</x:v>
      </x:c>
      <x:c r="L207" s="40" t="n">
        <x:v>50</x:v>
      </x:c>
      <x:c r="M207" t="str">
        <x:v>PO200206</x:v>
      </x:c>
      <x:c r="N207" s="36" t="n">
        <x:v>46243</x:v>
      </x:c>
      <x:c r="O207" s="38" t="n">
        <x:v>711.55</x:v>
      </x:c>
      <x:c r="P207" t="str">
        <x:v>30 Days</x:v>
      </x:c>
      <x:c r="Q207" t="str">
        <x:v>S. Kumar</x:v>
      </x:c>
      <x:c r="R207" s="36" t="n">
        <x:v>46253</x:v>
      </x:c>
      <x:c r="S207" s="36" t="n">
        <x:v>46260</x:v>
      </x:c>
      <x:c r="T207" s="40" t="n">
        <x:v>50</x:v>
      </x:c>
      <x:c r="U207" t="str">
        <x:v>INV300206</x:v>
      </x:c>
      <x:c r="V207" s="36" t="n">
        <x:v>46266</x:v>
      </x:c>
      <x:c r="W207" s="40" t="n">
        <x:v>50</x:v>
      </x:c>
      <x:c r="X207" s="38" t="n">
        <x:v>35577.5</x:v>
      </x:c>
      <x:c r="Y207" t="str">
        <x:v>Paid</x:v>
      </x:c>
      <x:c r="Z207" s="38" t="n">
        <x:f>ROUND(L207*O207,2)</x:f>
        <x:v>35577.5</x:v>
      </x:c>
      <x:c r="AA207" t="n">
        <x:f>IF(S207="","",S207-N207)</x:f>
        <x:v>17</x:v>
      </x:c>
      <x:c r="AB207" t="str">
        <x:f>IF(S207="","Open",IF(S207&lt;=R207,"On Time","Late"))</x:f>
        <x:v>Late</x:v>
      </x:c>
      <x:c r="AC207" t="str">
        <x:f>IF(S207="","Open",IF(T207=L207,"Match","Mismatch"))</x:f>
        <x:v>Match</x:v>
      </x:c>
      <x:c r="AD207" t="str">
        <x:f>IF(V207="","Open",IF(ABS(X207-Z207)&lt;=1,"Match","Mismatch"))</x:f>
        <x:v>Match</x:v>
      </x:c>
      <x:c r="AE207" t="str">
        <x:f>IF(OR(AC207="Open",AD207="Open"),"Open",IF(AND(AC207="Match",AD207="Match",W207=T207),"Matched","Exception"))</x:f>
        <x:v>Matched</x:v>
      </x:c>
      <x:c r="AF207" s="40" t="n">
        <x:f>MAX(L207-T207,0)</x:f>
        <x:v>0</x:v>
      </x:c>
    </x:row>
    <x:row r="208">
      <x:c r="A208" t="str">
        <x:v>PR100207</x:v>
      </x:c>
      <x:c r="B208" s="36" t="n">
        <x:v>46203</x:v>
      </x:c>
      <x:c r="C208" t="str">
        <x:v>Operations</x:v>
      </x:c>
      <x:c r="D208" t="str">
        <x:v>PRJ-007</x:v>
      </x:c>
      <x:c r="E208" t="str">
        <x:v>MAT040</x:v>
      </x:c>
      <x:c r="F208" t="str">
        <x:v>SS Fastener Set</x:v>
      </x:c>
      <x:c r="G208" t="str">
        <x:v>Hardware</x:v>
      </x:c>
      <x:c r="H208" t="str">
        <x:v>SET</x:v>
      </x:c>
      <x:c r="I208" t="str">
        <x:v>SUP011</x:v>
      </x:c>
      <x:c r="J208" t="str">
        <x:v>Vertex Industrial Supply</x:v>
      </x:c>
      <x:c r="K208" t="str">
        <x:v>Maharashtra</x:v>
      </x:c>
      <x:c r="L208" s="40" t="n">
        <x:v>150</x:v>
      </x:c>
      <x:c r="M208" t="str">
        <x:v>PO200207</x:v>
      </x:c>
      <x:c r="N208" s="36" t="n">
        <x:v>46204</x:v>
      </x:c>
      <x:c r="O208" s="38" t="n">
        <x:v>130.62</x:v>
      </x:c>
      <x:c r="P208" t="str">
        <x:v>30 Days</x:v>
      </x:c>
      <x:c r="Q208" t="str">
        <x:v>A. Reddy</x:v>
      </x:c>
      <x:c r="R208" s="36" t="n">
        <x:v>46216</x:v>
      </x:c>
      <x:c r="S208" s="36" t="n">
        <x:v>46222</x:v>
      </x:c>
      <x:c r="T208" s="40" t="n">
        <x:v>150</x:v>
      </x:c>
      <x:c r="U208" t="str">
        <x:v>INV300207</x:v>
      </x:c>
      <x:c r="V208" s="36" t="n">
        <x:v>46227</x:v>
      </x:c>
      <x:c r="W208" s="40" t="n">
        <x:v>150</x:v>
      </x:c>
      <x:c r="X208" s="38" t="n">
        <x:v>19593</x:v>
      </x:c>
      <x:c r="Y208" t="str">
        <x:v>Paid</x:v>
      </x:c>
      <x:c r="Z208" s="38" t="n">
        <x:f>ROUND(L208*O208,2)</x:f>
        <x:v>19593</x:v>
      </x:c>
      <x:c r="AA208" t="n">
        <x:f>IF(S208="","",S208-N208)</x:f>
        <x:v>18</x:v>
      </x:c>
      <x:c r="AB208" t="str">
        <x:f>IF(S208="","Open",IF(S208&lt;=R208,"On Time","Late"))</x:f>
        <x:v>Late</x:v>
      </x:c>
      <x:c r="AC208" t="str">
        <x:f>IF(S208="","Open",IF(T208=L208,"Match","Mismatch"))</x:f>
        <x:v>Match</x:v>
      </x:c>
      <x:c r="AD208" t="str">
        <x:f>IF(V208="","Open",IF(ABS(X208-Z208)&lt;=1,"Match","Mismatch"))</x:f>
        <x:v>Match</x:v>
      </x:c>
      <x:c r="AE208" t="str">
        <x:f>IF(OR(AC208="Open",AD208="Open"),"Open",IF(AND(AC208="Match",AD208="Match",W208=T208),"Matched","Exception"))</x:f>
        <x:v>Matched</x:v>
      </x:c>
      <x:c r="AF208" s="40" t="n">
        <x:f>MAX(L208-T208,0)</x:f>
        <x:v>0</x:v>
      </x:c>
    </x:row>
    <x:row r="209">
      <x:c r="A209" t="str">
        <x:v>PR100208</x:v>
      </x:c>
      <x:c r="B209" s="36" t="n">
        <x:v>46101</x:v>
      </x:c>
      <x:c r="C209" t="str">
        <x:v>Civil Projects</x:v>
      </x:c>
      <x:c r="D209" t="str">
        <x:v>PRJ-006</x:v>
      </x:c>
      <x:c r="E209" t="str">
        <x:v>MAT002</x:v>
      </x:c>
      <x:c r="F209" t="str">
        <x:v>PPC Cement 50kg</x:v>
      </x:c>
      <x:c r="G209" t="str">
        <x:v>Cement &amp; Concrete</x:v>
      </x:c>
      <x:c r="H209" t="str">
        <x:v>BAG</x:v>
      </x:c>
      <x:c r="I209" t="str">
        <x:v>SUP003</x:v>
      </x:c>
      <x:c r="J209" t="str">
        <x:v>BuildRight Aggregates</x:v>
      </x:c>
      <x:c r="K209" t="str">
        <x:v>Telangana</x:v>
      </x:c>
      <x:c r="L209" s="40" t="n">
        <x:v>40</x:v>
      </x:c>
      <x:c r="M209" t="str">
        <x:v>PO200208</x:v>
      </x:c>
      <x:c r="N209" s="36" t="n">
        <x:v>46101</x:v>
      </x:c>
      <x:c r="O209" s="38" t="n">
        <x:v>369.26</x:v>
      </x:c>
      <x:c r="P209" t="str">
        <x:v>45 Days</x:v>
      </x:c>
      <x:c r="Q209" t="str">
        <x:v>A. Reddy</x:v>
      </x:c>
      <x:c r="R209" s="36" t="n">
        <x:v>46108</x:v>
      </x:c>
      <x:c r="S209" s="36" t="n">
        <x:v>46106</x:v>
      </x:c>
      <x:c r="T209" s="40" t="n">
        <x:v>40</x:v>
      </x:c>
      <x:c r="U209" t="str">
        <x:v>INV300208</x:v>
      </x:c>
      <x:c r="V209" s="36" t="n">
        <x:v>46107</x:v>
      </x:c>
      <x:c r="W209" s="40" t="n">
        <x:v>40</x:v>
      </x:c>
      <x:c r="X209" s="38" t="n">
        <x:v>14770.4</x:v>
      </x:c>
      <x:c r="Y209" t="str">
        <x:v>Paid</x:v>
      </x:c>
      <x:c r="Z209" s="38" t="n">
        <x:f>ROUND(L209*O209,2)</x:f>
        <x:v>14770.4</x:v>
      </x:c>
      <x:c r="AA209" t="n">
        <x:f>IF(S209="","",S209-N209)</x:f>
        <x:v>5</x:v>
      </x:c>
      <x:c r="AB209" t="str">
        <x:f>IF(S209="","Open",IF(S209&lt;=R209,"On Time","Late"))</x:f>
        <x:v>On Time</x:v>
      </x:c>
      <x:c r="AC209" t="str">
        <x:f>IF(S209="","Open",IF(T209=L209,"Match","Mismatch"))</x:f>
        <x:v>Match</x:v>
      </x:c>
      <x:c r="AD209" t="str">
        <x:f>IF(V209="","Open",IF(ABS(X209-Z209)&lt;=1,"Match","Mismatch"))</x:f>
        <x:v>Match</x:v>
      </x:c>
      <x:c r="AE209" t="str">
        <x:f>IF(OR(AC209="Open",AD209="Open"),"Open",IF(AND(AC209="Match",AD209="Match",W209=T209),"Matched","Exception"))</x:f>
        <x:v>Matched</x:v>
      </x:c>
      <x:c r="AF209" s="40" t="n">
        <x:f>MAX(L209-T209,0)</x:f>
        <x:v>0</x:v>
      </x:c>
    </x:row>
    <x:row r="210">
      <x:c r="A210" t="str">
        <x:v>PR100209</x:v>
      </x:c>
      <x:c r="B210" s="36" t="n">
        <x:v>46226</x:v>
      </x:c>
      <x:c r="C210" t="str">
        <x:v>Maintenance</x:v>
      </x:c>
      <x:c r="D210" t="str">
        <x:v>PRJ-007</x:v>
      </x:c>
      <x:c r="E210" t="str">
        <x:v>MAT040</x:v>
      </x:c>
      <x:c r="F210" t="str">
        <x:v>SS Fastener Set</x:v>
      </x:c>
      <x:c r="G210" t="str">
        <x:v>Hardware</x:v>
      </x:c>
      <x:c r="H210" t="str">
        <x:v>SET</x:v>
      </x:c>
      <x:c r="I210" t="str">
        <x:v>SUP009</x:v>
      </x:c>
      <x:c r="J210" t="str">
        <x:v>Nava Bharat Hardware</x:v>
      </x:c>
      <x:c r="K210" t="str">
        <x:v>Andhra Pradesh</x:v>
      </x:c>
      <x:c r="L210" s="40" t="n">
        <x:v>40</x:v>
      </x:c>
      <x:c r="M210" t="str">
        <x:v>PO200209</x:v>
      </x:c>
      <x:c r="N210" s="36" t="n">
        <x:v>46229</x:v>
      </x:c>
      <x:c r="O210" s="38" t="n">
        <x:v>130.59</x:v>
      </x:c>
      <x:c r="P210" t="str">
        <x:v>45 Days</x:v>
      </x:c>
      <x:c r="Q210" t="str">
        <x:v>M. Priya</x:v>
      </x:c>
      <x:c r="R210" s="36" t="n">
        <x:v>46245</x:v>
      </x:c>
      <x:c r="S210" s="36"/>
      <x:c r="T210" s="40" t="n">
        <x:v>0</x:v>
      </x:c>
      <x:c r="U210" t="str"/>
      <x:c r="V210" s="36"/>
      <x:c r="W210" s="40" t="n">
        <x:v>0</x:v>
      </x:c>
      <x:c r="X210" s="38" t="str"/>
      <x:c r="Y210" t="str">
        <x:v>Open PO</x:v>
      </x:c>
      <x:c r="Z210" s="38" t="n">
        <x:f>ROUND(L210*O210,2)</x:f>
        <x:v>5223.6</x:v>
      </x:c>
      <x:c r="AA210" t="str">
        <x:f>IF(S210="","",S210-N210)</x:f>
      </x:c>
      <x:c r="AB210" t="str">
        <x:f>IF(S210="","Open",IF(S210&lt;=R210,"On Time","Late"))</x:f>
        <x:v>Open</x:v>
      </x:c>
      <x:c r="AC210" t="str">
        <x:f>IF(S210="","Open",IF(T210=L210,"Match","Mismatch"))</x:f>
        <x:v>Open</x:v>
      </x:c>
      <x:c r="AD210" t="str">
        <x:f>IF(V210="","Open",IF(ABS(X210-Z210)&lt;=1,"Match","Mismatch"))</x:f>
        <x:v>Open</x:v>
      </x:c>
      <x:c r="AE210" t="str">
        <x:f>IF(OR(AC210="Open",AD210="Open"),"Open",IF(AND(AC210="Match",AD210="Match",W210=T210),"Matched","Exception"))</x:f>
        <x:v>Open</x:v>
      </x:c>
      <x:c r="AF210" s="40" t="n">
        <x:f>MAX(L210-T210,0)</x:f>
        <x:v>40</x:v>
      </x:c>
    </x:row>
    <x:row r="211">
      <x:c r="A211" t="str">
        <x:v>PR100210</x:v>
      </x:c>
      <x:c r="B211" s="36" t="n">
        <x:v>46033</x:v>
      </x:c>
      <x:c r="C211" t="str">
        <x:v>Facilities</x:v>
      </x:c>
      <x:c r="D211" t="str">
        <x:v>PRJ-005</x:v>
      </x:c>
      <x:c r="E211" t="str">
        <x:v>MAT036</x:v>
      </x:c>
      <x:c r="F211" t="str">
        <x:v>Cutting Disc 4 inch</x:v>
      </x:c>
      <x:c r="G211" t="str">
        <x:v>Consumables</x:v>
      </x:c>
      <x:c r="H211" t="str">
        <x:v>EA</x:v>
      </x:c>
      <x:c r="I211" t="str">
        <x:v>SUP007</x:v>
      </x:c>
      <x:c r="J211" t="str">
        <x:v>Precision Tools India</x:v>
      </x:c>
      <x:c r="K211" t="str">
        <x:v>Telangana</x:v>
      </x:c>
      <x:c r="L211" s="40" t="n">
        <x:v>100</x:v>
      </x:c>
      <x:c r="M211" t="str">
        <x:v>PO200210</x:v>
      </x:c>
      <x:c r="N211" s="36" t="n">
        <x:v>46035</x:v>
      </x:c>
      <x:c r="O211" s="38" t="n">
        <x:v>51.33</x:v>
      </x:c>
      <x:c r="P211" t="str">
        <x:v>45 Days</x:v>
      </x:c>
      <x:c r="Q211" t="str">
        <x:v>S. Kumar</x:v>
      </x:c>
      <x:c r="R211" s="36" t="n">
        <x:v>46048</x:v>
      </x:c>
      <x:c r="S211" s="36" t="n">
        <x:v>46046</x:v>
      </x:c>
      <x:c r="T211" s="40" t="n">
        <x:v>100</x:v>
      </x:c>
      <x:c r="U211" t="str">
        <x:v>INV300210</x:v>
      </x:c>
      <x:c r="V211" s="36" t="n">
        <x:v>46051</x:v>
      </x:c>
      <x:c r="W211" s="40" t="n">
        <x:v>100</x:v>
      </x:c>
      <x:c r="X211" s="38" t="n">
        <x:v>5133</x:v>
      </x:c>
      <x:c r="Y211" t="str">
        <x:v>Paid</x:v>
      </x:c>
      <x:c r="Z211" s="38" t="n">
        <x:f>ROUND(L211*O211,2)</x:f>
        <x:v>5133</x:v>
      </x:c>
      <x:c r="AA211" t="n">
        <x:f>IF(S211="","",S211-N211)</x:f>
        <x:v>11</x:v>
      </x:c>
      <x:c r="AB211" t="str">
        <x:f>IF(S211="","Open",IF(S211&lt;=R211,"On Time","Late"))</x:f>
        <x:v>On Time</x:v>
      </x:c>
      <x:c r="AC211" t="str">
        <x:f>IF(S211="","Open",IF(T211=L211,"Match","Mismatch"))</x:f>
        <x:v>Match</x:v>
      </x:c>
      <x:c r="AD211" t="str">
        <x:f>IF(V211="","Open",IF(ABS(X211-Z211)&lt;=1,"Match","Mismatch"))</x:f>
        <x:v>Match</x:v>
      </x:c>
      <x:c r="AE211" t="str">
        <x:f>IF(OR(AC211="Open",AD211="Open"),"Open",IF(AND(AC211="Match",AD211="Match",W211=T211),"Matched","Exception"))</x:f>
        <x:v>Matched</x:v>
      </x:c>
      <x:c r="AF211" s="40" t="n">
        <x:f>MAX(L211-T211,0)</x:f>
        <x:v>0</x:v>
      </x:c>
    </x:row>
    <x:row r="212">
      <x:c r="A212" t="str">
        <x:v>PR100211</x:v>
      </x:c>
      <x:c r="B212" s="36" t="n">
        <x:v>46115</x:v>
      </x:c>
      <x:c r="C212" t="str">
        <x:v>Operations</x:v>
      </x:c>
      <x:c r="D212" t="str">
        <x:v>PRJ-008</x:v>
      </x:c>
      <x:c r="E212" t="str">
        <x:v>MAT005</x:v>
      </x:c>
      <x:c r="F212" t="str">
        <x:v>TMT Steel Fe500 16mm</x:v>
      </x:c>
      <x:c r="G212" t="str">
        <x:v>Steel</x:v>
      </x:c>
      <x:c r="H212" t="str">
        <x:v>KG</x:v>
      </x:c>
      <x:c r="I212" t="str">
        <x:v>SUP002</x:v>
      </x:c>
      <x:c r="J212" t="str">
        <x:v>Metro Steel Traders</x:v>
      </x:c>
      <x:c r="K212" t="str">
        <x:v>Telangana</x:v>
      </x:c>
      <x:c r="L212" s="40" t="n">
        <x:v>750</x:v>
      </x:c>
      <x:c r="M212" t="str">
        <x:v>PO200211</x:v>
      </x:c>
      <x:c r="N212" s="36" t="n">
        <x:v>46117</x:v>
      </x:c>
      <x:c r="O212" s="38" t="n">
        <x:v>61.13</x:v>
      </x:c>
      <x:c r="P212" t="str">
        <x:v>60 Days</x:v>
      </x:c>
      <x:c r="Q212" t="str">
        <x:v>M. Priya</x:v>
      </x:c>
      <x:c r="R212" s="36" t="n">
        <x:v>46121</x:v>
      </x:c>
      <x:c r="S212" s="36" t="n">
        <x:v>46126</x:v>
      </x:c>
      <x:c r="T212" s="40" t="n">
        <x:v>740</x:v>
      </x:c>
      <x:c r="U212" t="str">
        <x:v>INV300211</x:v>
      </x:c>
      <x:c r="V212" s="36" t="n">
        <x:v>46132</x:v>
      </x:c>
      <x:c r="W212" s="40" t="n">
        <x:v>740</x:v>
      </x:c>
      <x:c r="X212" s="38" t="n">
        <x:v>46764.45</x:v>
      </x:c>
      <x:c r="Y212" t="str">
        <x:v>Paid</x:v>
      </x:c>
      <x:c r="Z212" s="38" t="n">
        <x:f>ROUND(L212*O212,2)</x:f>
        <x:v>45847.5</x:v>
      </x:c>
      <x:c r="AA212" t="n">
        <x:f>IF(S212="","",S212-N212)</x:f>
        <x:v>9</x:v>
      </x:c>
      <x:c r="AB212" t="str">
        <x:f>IF(S212="","Open",IF(S212&lt;=R212,"On Time","Late"))</x:f>
        <x:v>Late</x:v>
      </x:c>
      <x:c r="AC212" t="str">
        <x:f>IF(S212="","Open",IF(T212=L212,"Match","Mismatch"))</x:f>
        <x:v>Mismatch</x:v>
      </x:c>
      <x:c r="AD212" t="str">
        <x:f>IF(V212="","Open",IF(ABS(X212-Z212)&lt;=1,"Match","Mismatch"))</x:f>
        <x:v>Mismatch</x:v>
      </x:c>
      <x:c r="AE212" t="str">
        <x:f>IF(OR(AC212="Open",AD212="Open"),"Open",IF(AND(AC212="Match",AD212="Match",W212=T212),"Matched","Exception"))</x:f>
        <x:v>Exception</x:v>
      </x:c>
      <x:c r="AF212" s="40" t="n">
        <x:f>MAX(L212-T212,0)</x:f>
        <x:v>10</x:v>
      </x:c>
    </x:row>
    <x:row r="213">
      <x:c r="A213" t="str">
        <x:v>PR100212</x:v>
      </x:c>
      <x:c r="B213" s="36" t="n">
        <x:v>46189</x:v>
      </x:c>
      <x:c r="C213" t="str">
        <x:v>Operations</x:v>
      </x:c>
      <x:c r="D213" t="str">
        <x:v>PRJ-004</x:v>
      </x:c>
      <x:c r="E213" t="str">
        <x:v>MAT005</x:v>
      </x:c>
      <x:c r="F213" t="str">
        <x:v>TMT Steel Fe500 16mm</x:v>
      </x:c>
      <x:c r="G213" t="str">
        <x:v>Steel</x:v>
      </x:c>
      <x:c r="H213" t="str">
        <x:v>KG</x:v>
      </x:c>
      <x:c r="I213" t="str">
        <x:v>SUP011</x:v>
      </x:c>
      <x:c r="J213" t="str">
        <x:v>Vertex Industrial Supply</x:v>
      </x:c>
      <x:c r="K213" t="str">
        <x:v>Maharashtra</x:v>
      </x:c>
      <x:c r="L213" s="40" t="n">
        <x:v>150</x:v>
      </x:c>
      <x:c r="M213" t="str">
        <x:v>PO200212</x:v>
      </x:c>
      <x:c r="N213" s="36" t="n">
        <x:v>46190</x:v>
      </x:c>
      <x:c r="O213" s="38" t="n">
        <x:v>66.88</x:v>
      </x:c>
      <x:c r="P213" t="str">
        <x:v>60 Days</x:v>
      </x:c>
      <x:c r="Q213" t="str">
        <x:v>R. Sharma</x:v>
      </x:c>
      <x:c r="R213" s="36" t="n">
        <x:v>46202</x:v>
      </x:c>
      <x:c r="S213" s="36" t="n">
        <x:v>46199</x:v>
      </x:c>
      <x:c r="T213" s="40" t="n">
        <x:v>150</x:v>
      </x:c>
      <x:c r="U213" t="str">
        <x:v>INV300212</x:v>
      </x:c>
      <x:c r="V213" s="36" t="n">
        <x:v>46201</x:v>
      </x:c>
      <x:c r="W213" s="40" t="n">
        <x:v>150</x:v>
      </x:c>
      <x:c r="X213" s="38" t="n">
        <x:v>10032</x:v>
      </x:c>
      <x:c r="Y213" t="str">
        <x:v>Paid</x:v>
      </x:c>
      <x:c r="Z213" s="38" t="n">
        <x:f>ROUND(L213*O213,2)</x:f>
        <x:v>10032</x:v>
      </x:c>
      <x:c r="AA213" t="n">
        <x:f>IF(S213="","",S213-N213)</x:f>
        <x:v>9</x:v>
      </x:c>
      <x:c r="AB213" t="str">
        <x:f>IF(S213="","Open",IF(S213&lt;=R213,"On Time","Late"))</x:f>
        <x:v>On Time</x:v>
      </x:c>
      <x:c r="AC213" t="str">
        <x:f>IF(S213="","Open",IF(T213=L213,"Match","Mismatch"))</x:f>
        <x:v>Match</x:v>
      </x:c>
      <x:c r="AD213" t="str">
        <x:f>IF(V213="","Open",IF(ABS(X213-Z213)&lt;=1,"Match","Mismatch"))</x:f>
        <x:v>Match</x:v>
      </x:c>
      <x:c r="AE213" t="str">
        <x:f>IF(OR(AC213="Open",AD213="Open"),"Open",IF(AND(AC213="Match",AD213="Match",W213=T213),"Matched","Exception"))</x:f>
        <x:v>Matched</x:v>
      </x:c>
      <x:c r="AF213" s="40" t="n">
        <x:f>MAX(L213-T213,0)</x:f>
        <x:v>0</x:v>
      </x:c>
    </x:row>
    <x:row r="214">
      <x:c r="A214" t="str">
        <x:v>PR100213</x:v>
      </x:c>
      <x:c r="B214" s="36" t="n">
        <x:v>46085</x:v>
      </x:c>
      <x:c r="C214" t="str">
        <x:v>Operations</x:v>
      </x:c>
      <x:c r="D214" t="str">
        <x:v>PRJ-001</x:v>
      </x:c>
      <x:c r="E214" t="str">
        <x:v>MAT036</x:v>
      </x:c>
      <x:c r="F214" t="str">
        <x:v>Cutting Disc 4 inch</x:v>
      </x:c>
      <x:c r="G214" t="str">
        <x:v>Consumables</x:v>
      </x:c>
      <x:c r="H214" t="str">
        <x:v>EA</x:v>
      </x:c>
      <x:c r="I214" t="str">
        <x:v>SUP007</x:v>
      </x:c>
      <x:c r="J214" t="str">
        <x:v>Precision Tools India</x:v>
      </x:c>
      <x:c r="K214" t="str">
        <x:v>Telangana</x:v>
      </x:c>
      <x:c r="L214" s="40" t="n">
        <x:v>200</x:v>
      </x:c>
      <x:c r="M214" t="str">
        <x:v>PO200213</x:v>
      </x:c>
      <x:c r="N214" s="36" t="n">
        <x:v>46088</x:v>
      </x:c>
      <x:c r="O214" s="38" t="n">
        <x:v>52.1</x:v>
      </x:c>
      <x:c r="P214" t="str">
        <x:v>60 Days</x:v>
      </x:c>
      <x:c r="Q214" t="str">
        <x:v>M. Priya</x:v>
      </x:c>
      <x:c r="R214" s="36" t="n">
        <x:v>46095</x:v>
      </x:c>
      <x:c r="S214" s="36" t="n">
        <x:v>46101</x:v>
      </x:c>
      <x:c r="T214" s="40" t="n">
        <x:v>200</x:v>
      </x:c>
      <x:c r="U214" t="str">
        <x:v>INV300213</x:v>
      </x:c>
      <x:c r="V214" s="36" t="n">
        <x:v>46108</x:v>
      </x:c>
      <x:c r="W214" s="40" t="n">
        <x:v>200</x:v>
      </x:c>
      <x:c r="X214" s="38" t="n">
        <x:v>10420</x:v>
      </x:c>
      <x:c r="Y214" t="str">
        <x:v>Paid</x:v>
      </x:c>
      <x:c r="Z214" s="38" t="n">
        <x:f>ROUND(L214*O214,2)</x:f>
        <x:v>10420</x:v>
      </x:c>
      <x:c r="AA214" t="n">
        <x:f>IF(S214="","",S214-N214)</x:f>
        <x:v>13</x:v>
      </x:c>
      <x:c r="AB214" t="str">
        <x:f>IF(S214="","Open",IF(S214&lt;=R214,"On Time","Late"))</x:f>
        <x:v>Late</x:v>
      </x:c>
      <x:c r="AC214" t="str">
        <x:f>IF(S214="","Open",IF(T214=L214,"Match","Mismatch"))</x:f>
        <x:v>Match</x:v>
      </x:c>
      <x:c r="AD214" t="str">
        <x:f>IF(V214="","Open",IF(ABS(X214-Z214)&lt;=1,"Match","Mismatch"))</x:f>
        <x:v>Match</x:v>
      </x:c>
      <x:c r="AE214" t="str">
        <x:f>IF(OR(AC214="Open",AD214="Open"),"Open",IF(AND(AC214="Match",AD214="Match",W214=T214),"Matched","Exception"))</x:f>
        <x:v>Matched</x:v>
      </x:c>
      <x:c r="AF214" s="40" t="n">
        <x:f>MAX(L214-T214,0)</x:f>
        <x:v>0</x:v>
      </x:c>
    </x:row>
    <x:row r="215">
      <x:c r="A215" t="str">
        <x:v>PR100214</x:v>
      </x:c>
      <x:c r="B215" s="36" t="n">
        <x:v>46276</x:v>
      </x:c>
      <x:c r="C215" t="str">
        <x:v>Maintenance</x:v>
      </x:c>
      <x:c r="D215" t="str">
        <x:v>PRJ-002</x:v>
      </x:c>
      <x:c r="E215" t="str">
        <x:v>MAT033</x:v>
      </x:c>
      <x:c r="F215" t="str">
        <x:v>Barcode Labels</x:v>
      </x:c>
      <x:c r="G215" t="str">
        <x:v>Office Supplies</x:v>
      </x:c>
      <x:c r="H215" t="str">
        <x:v>PACK</x:v>
      </x:c>
      <x:c r="I215" t="str">
        <x:v>SUP008</x:v>
      </x:c>
      <x:c r="J215" t="str">
        <x:v>Prime Office Solutions</x:v>
      </x:c>
      <x:c r="K215" t="str">
        <x:v>Telangana</x:v>
      </x:c>
      <x:c r="L215" s="40" t="n">
        <x:v>30</x:v>
      </x:c>
      <x:c r="M215" t="str">
        <x:v>PO200214</x:v>
      </x:c>
      <x:c r="N215" s="36" t="n">
        <x:v>46277</x:v>
      </x:c>
      <x:c r="O215" s="38" t="n">
        <x:v>635.48</x:v>
      </x:c>
      <x:c r="P215" t="str">
        <x:v>30 Days</x:v>
      </x:c>
      <x:c r="Q215" t="str">
        <x:v>R. Sharma</x:v>
      </x:c>
      <x:c r="R215" s="36" t="n">
        <x:v>46295</x:v>
      </x:c>
      <x:c r="S215" s="36" t="n">
        <x:v>46304</x:v>
      </x:c>
      <x:c r="T215" s="40" t="n">
        <x:v>30</x:v>
      </x:c>
      <x:c r="U215" t="str">
        <x:v>INV300214</x:v>
      </x:c>
      <x:c r="V215" s="36" t="n">
        <x:v>46310</x:v>
      </x:c>
      <x:c r="W215" s="40" t="n">
        <x:v>30</x:v>
      </x:c>
      <x:c r="X215" s="38" t="n">
        <x:v>19064.4</x:v>
      </x:c>
      <x:c r="Y215" t="str">
        <x:v>Paid</x:v>
      </x:c>
      <x:c r="Z215" s="38" t="n">
        <x:f>ROUND(L215*O215,2)</x:f>
        <x:v>19064.4</x:v>
      </x:c>
      <x:c r="AA215" t="n">
        <x:f>IF(S215="","",S215-N215)</x:f>
        <x:v>27</x:v>
      </x:c>
      <x:c r="AB215" t="str">
        <x:f>IF(S215="","Open",IF(S215&lt;=R215,"On Time","Late"))</x:f>
        <x:v>Late</x:v>
      </x:c>
      <x:c r="AC215" t="str">
        <x:f>IF(S215="","Open",IF(T215=L215,"Match","Mismatch"))</x:f>
        <x:v>Match</x:v>
      </x:c>
      <x:c r="AD215" t="str">
        <x:f>IF(V215="","Open",IF(ABS(X215-Z215)&lt;=1,"Match","Mismatch"))</x:f>
        <x:v>Match</x:v>
      </x:c>
      <x:c r="AE215" t="str">
        <x:f>IF(OR(AC215="Open",AD215="Open"),"Open",IF(AND(AC215="Match",AD215="Match",W215=T215),"Matched","Exception"))</x:f>
        <x:v>Matched</x:v>
      </x:c>
      <x:c r="AF215" s="40" t="n">
        <x:f>MAX(L215-T215,0)</x:f>
        <x:v>0</x:v>
      </x:c>
    </x:row>
    <x:row r="216">
      <x:c r="A216" t="str">
        <x:v>PR100215</x:v>
      </x:c>
      <x:c r="B216" s="36" t="n">
        <x:v>46105</x:v>
      </x:c>
      <x:c r="C216" t="str">
        <x:v>Facilities</x:v>
      </x:c>
      <x:c r="D216" t="str">
        <x:v>PRJ-005</x:v>
      </x:c>
      <x:c r="E216" t="str">
        <x:v>MAT005</x:v>
      </x:c>
      <x:c r="F216" t="str">
        <x:v>TMT Steel Fe500 16mm</x:v>
      </x:c>
      <x:c r="G216" t="str">
        <x:v>Steel</x:v>
      </x:c>
      <x:c r="H216" t="str">
        <x:v>KG</x:v>
      </x:c>
      <x:c r="I216" t="str">
        <x:v>SUP011</x:v>
      </x:c>
      <x:c r="J216" t="str">
        <x:v>Vertex Industrial Supply</x:v>
      </x:c>
      <x:c r="K216" t="str">
        <x:v>Maharashtra</x:v>
      </x:c>
      <x:c r="L216" s="40" t="n">
        <x:v>500</x:v>
      </x:c>
      <x:c r="M216" t="str">
        <x:v>PO200215</x:v>
      </x:c>
      <x:c r="N216" s="36" t="n">
        <x:v>46106</x:v>
      </x:c>
      <x:c r="O216" s="38" t="n">
        <x:v>58.39</x:v>
      </x:c>
      <x:c r="P216" t="str">
        <x:v>60 Days</x:v>
      </x:c>
      <x:c r="Q216" t="str">
        <x:v>A. Reddy</x:v>
      </x:c>
      <x:c r="R216" s="36" t="n">
        <x:v>46121</x:v>
      </x:c>
      <x:c r="S216" s="36"/>
      <x:c r="T216" s="40" t="n">
        <x:v>0</x:v>
      </x:c>
      <x:c r="U216" t="str"/>
      <x:c r="V216" s="36"/>
      <x:c r="W216" s="40" t="n">
        <x:v>0</x:v>
      </x:c>
      <x:c r="X216" s="38" t="str"/>
      <x:c r="Y216" t="str">
        <x:v>Open PO</x:v>
      </x:c>
      <x:c r="Z216" s="38" t="n">
        <x:f>ROUND(L216*O216,2)</x:f>
        <x:v>29195</x:v>
      </x:c>
      <x:c r="AA216" t="str">
        <x:f>IF(S216="","",S216-N216)</x:f>
      </x:c>
      <x:c r="AB216" t="str">
        <x:f>IF(S216="","Open",IF(S216&lt;=R216,"On Time","Late"))</x:f>
        <x:v>Open</x:v>
      </x:c>
      <x:c r="AC216" t="str">
        <x:f>IF(S216="","Open",IF(T216=L216,"Match","Mismatch"))</x:f>
        <x:v>Open</x:v>
      </x:c>
      <x:c r="AD216" t="str">
        <x:f>IF(V216="","Open",IF(ABS(X216-Z216)&lt;=1,"Match","Mismatch"))</x:f>
        <x:v>Open</x:v>
      </x:c>
      <x:c r="AE216" t="str">
        <x:f>IF(OR(AC216="Open",AD216="Open"),"Open",IF(AND(AC216="Match",AD216="Match",W216=T216),"Matched","Exception"))</x:f>
        <x:v>Open</x:v>
      </x:c>
      <x:c r="AF216" s="40" t="n">
        <x:f>MAX(L216-T216,0)</x:f>
        <x:v>500</x:v>
      </x:c>
    </x:row>
    <x:row r="217">
      <x:c r="A217" t="str">
        <x:v>PR100216</x:v>
      </x:c>
      <x:c r="B217" s="36" t="n">
        <x:v>46159</x:v>
      </x:c>
      <x:c r="C217" t="str">
        <x:v>Civil Projects</x:v>
      </x:c>
      <x:c r="D217" t="str">
        <x:v>PRJ-001</x:v>
      </x:c>
      <x:c r="E217" t="str">
        <x:v>MAT037</x:v>
      </x:c>
      <x:c r="F217" t="str">
        <x:v>Anchor Bolt M16</x:v>
      </x:c>
      <x:c r="G217" t="str">
        <x:v>Hardware</x:v>
      </x:c>
      <x:c r="H217" t="str">
        <x:v>EA</x:v>
      </x:c>
      <x:c r="I217" t="str">
        <x:v>SUP009</x:v>
      </x:c>
      <x:c r="J217" t="str">
        <x:v>Nava Bharat Hardware</x:v>
      </x:c>
      <x:c r="K217" t="str">
        <x:v>Andhra Pradesh</x:v>
      </x:c>
      <x:c r="L217" s="40" t="n">
        <x:v>75</x:v>
      </x:c>
      <x:c r="M217" t="str">
        <x:v>PO200216</x:v>
      </x:c>
      <x:c r="N217" s="36" t="n">
        <x:v>46163</x:v>
      </x:c>
      <x:c r="O217" s="38" t="n">
        <x:v>94.8</x:v>
      </x:c>
      <x:c r="P217" t="str">
        <x:v>60 Days</x:v>
      </x:c>
      <x:c r="Q217" t="str">
        <x:v>A. Reddy</x:v>
      </x:c>
      <x:c r="R217" s="36" t="n">
        <x:v>46174</x:v>
      </x:c>
      <x:c r="S217" s="36"/>
      <x:c r="T217" s="40" t="n">
        <x:v>0</x:v>
      </x:c>
      <x:c r="U217" t="str"/>
      <x:c r="V217" s="36"/>
      <x:c r="W217" s="40" t="n">
        <x:v>0</x:v>
      </x:c>
      <x:c r="X217" s="38" t="str"/>
      <x:c r="Y217" t="str">
        <x:v>Open PO</x:v>
      </x:c>
      <x:c r="Z217" s="38" t="n">
        <x:f>ROUND(L217*O217,2)</x:f>
        <x:v>7110</x:v>
      </x:c>
      <x:c r="AA217" t="str">
        <x:f>IF(S217="","",S217-N217)</x:f>
      </x:c>
      <x:c r="AB217" t="str">
        <x:f>IF(S217="","Open",IF(S217&lt;=R217,"On Time","Late"))</x:f>
        <x:v>Open</x:v>
      </x:c>
      <x:c r="AC217" t="str">
        <x:f>IF(S217="","Open",IF(T217=L217,"Match","Mismatch"))</x:f>
        <x:v>Open</x:v>
      </x:c>
      <x:c r="AD217" t="str">
        <x:f>IF(V217="","Open",IF(ABS(X217-Z217)&lt;=1,"Match","Mismatch"))</x:f>
        <x:v>Open</x:v>
      </x:c>
      <x:c r="AE217" t="str">
        <x:f>IF(OR(AC217="Open",AD217="Open"),"Open",IF(AND(AC217="Match",AD217="Match",W217=T217),"Matched","Exception"))</x:f>
        <x:v>Open</x:v>
      </x:c>
      <x:c r="AF217" s="40" t="n">
        <x:f>MAX(L217-T217,0)</x:f>
        <x:v>75</x:v>
      </x:c>
    </x:row>
    <x:row r="218">
      <x:c r="A218" t="str">
        <x:v>PR100217</x:v>
      </x:c>
      <x:c r="B218" s="36" t="n">
        <x:v>46064</x:v>
      </x:c>
      <x:c r="C218" t="str">
        <x:v>Facilities</x:v>
      </x:c>
      <x:c r="D218" t="str">
        <x:v>PRJ-007</x:v>
      </x:c>
      <x:c r="E218" t="str">
        <x:v>MAT038</x:v>
      </x:c>
      <x:c r="F218" t="str">
        <x:v>Hex Bolt M12</x:v>
      </x:c>
      <x:c r="G218" t="str">
        <x:v>Hardware</x:v>
      </x:c>
      <x:c r="H218" t="str">
        <x:v>EA</x:v>
      </x:c>
      <x:c r="I218" t="str">
        <x:v>SUP009</x:v>
      </x:c>
      <x:c r="J218" t="str">
        <x:v>Nava Bharat Hardware</x:v>
      </x:c>
      <x:c r="K218" t="str">
        <x:v>Andhra Pradesh</x:v>
      </x:c>
      <x:c r="L218" s="40" t="n">
        <x:v>40</x:v>
      </x:c>
      <x:c r="M218" t="str">
        <x:v>PO200217</x:v>
      </x:c>
      <x:c r="N218" s="36" t="n">
        <x:v>46068</x:v>
      </x:c>
      <x:c r="O218" s="38" t="n">
        <x:v>23.36</x:v>
      </x:c>
      <x:c r="P218" t="str">
        <x:v>60 Days</x:v>
      </x:c>
      <x:c r="Q218" t="str">
        <x:v>M. Priya</x:v>
      </x:c>
      <x:c r="R218" s="36" t="n">
        <x:v>46073</x:v>
      </x:c>
      <x:c r="S218" s="36" t="n">
        <x:v>46081</x:v>
      </x:c>
      <x:c r="T218" s="40" t="n">
        <x:v>40</x:v>
      </x:c>
      <x:c r="U218" t="str">
        <x:v>INV300217</x:v>
      </x:c>
      <x:c r="V218" s="36" t="n">
        <x:v>46088</x:v>
      </x:c>
      <x:c r="W218" s="40" t="n">
        <x:v>40</x:v>
      </x:c>
      <x:c r="X218" s="38" t="n">
        <x:v>934.4</x:v>
      </x:c>
      <x:c r="Y218" t="str">
        <x:v>Paid</x:v>
      </x:c>
      <x:c r="Z218" s="38" t="n">
        <x:f>ROUND(L218*O218,2)</x:f>
        <x:v>934.4</x:v>
      </x:c>
      <x:c r="AA218" t="n">
        <x:f>IF(S218="","",S218-N218)</x:f>
        <x:v>13</x:v>
      </x:c>
      <x:c r="AB218" t="str">
        <x:f>IF(S218="","Open",IF(S218&lt;=R218,"On Time","Late"))</x:f>
        <x:v>Late</x:v>
      </x:c>
      <x:c r="AC218" t="str">
        <x:f>IF(S218="","Open",IF(T218=L218,"Match","Mismatch"))</x:f>
        <x:v>Match</x:v>
      </x:c>
      <x:c r="AD218" t="str">
        <x:f>IF(V218="","Open",IF(ABS(X218-Z218)&lt;=1,"Match","Mismatch"))</x:f>
        <x:v>Match</x:v>
      </x:c>
      <x:c r="AE218" t="str">
        <x:f>IF(OR(AC218="Open",AD218="Open"),"Open",IF(AND(AC218="Match",AD218="Match",W218=T218),"Matched","Exception"))</x:f>
        <x:v>Matched</x:v>
      </x:c>
      <x:c r="AF218" s="40" t="n">
        <x:f>MAX(L218-T218,0)</x:f>
        <x:v>0</x:v>
      </x:c>
    </x:row>
    <x:row r="219">
      <x:c r="A219" t="str">
        <x:v>PR100218</x:v>
      </x:c>
      <x:c r="B219" s="36" t="n">
        <x:v>46218</x:v>
      </x:c>
      <x:c r="C219" t="str">
        <x:v>Maintenance</x:v>
      </x:c>
      <x:c r="D219" t="str">
        <x:v>PRJ-002</x:v>
      </x:c>
      <x:c r="E219" t="str">
        <x:v>MAT010</x:v>
      </x:c>
      <x:c r="F219" t="str">
        <x:v>AAC Block 600x200x200</x:v>
      </x:c>
      <x:c r="G219" t="str">
        <x:v>Masonry</x:v>
      </x:c>
      <x:c r="H219" t="str">
        <x:v>EA</x:v>
      </x:c>
      <x:c r="I219" t="str">
        <x:v>SUP012</x:v>
      </x:c>
      <x:c r="J219" t="str">
        <x:v>GreenField Construction Supply</x:v>
      </x:c>
      <x:c r="K219" t="str">
        <x:v>Telangana</x:v>
      </x:c>
      <x:c r="L219" s="40" t="n">
        <x:v>150</x:v>
      </x:c>
      <x:c r="M219" t="str">
        <x:v>PO200218</x:v>
      </x:c>
      <x:c r="N219" s="36" t="n">
        <x:v>46220</x:v>
      </x:c>
      <x:c r="O219" s="38" t="n">
        <x:v>86.98</x:v>
      </x:c>
      <x:c r="P219" t="str">
        <x:v>45 Days</x:v>
      </x:c>
      <x:c r="Q219" t="str">
        <x:v>S. Kumar</x:v>
      </x:c>
      <x:c r="R219" s="36" t="n">
        <x:v>46237</x:v>
      </x:c>
      <x:c r="S219" s="36"/>
      <x:c r="T219" s="40" t="n">
        <x:v>0</x:v>
      </x:c>
      <x:c r="U219" t="str"/>
      <x:c r="V219" s="36"/>
      <x:c r="W219" s="40" t="n">
        <x:v>0</x:v>
      </x:c>
      <x:c r="X219" s="38" t="str"/>
      <x:c r="Y219" t="str">
        <x:v>Open PO</x:v>
      </x:c>
      <x:c r="Z219" s="38" t="n">
        <x:f>ROUND(L219*O219,2)</x:f>
        <x:v>13047</x:v>
      </x:c>
      <x:c r="AA219" t="str">
        <x:f>IF(S219="","",S219-N219)</x:f>
      </x:c>
      <x:c r="AB219" t="str">
        <x:f>IF(S219="","Open",IF(S219&lt;=R219,"On Time","Late"))</x:f>
        <x:v>Open</x:v>
      </x:c>
      <x:c r="AC219" t="str">
        <x:f>IF(S219="","Open",IF(T219=L219,"Match","Mismatch"))</x:f>
        <x:v>Open</x:v>
      </x:c>
      <x:c r="AD219" t="str">
        <x:f>IF(V219="","Open",IF(ABS(X219-Z219)&lt;=1,"Match","Mismatch"))</x:f>
        <x:v>Open</x:v>
      </x:c>
      <x:c r="AE219" t="str">
        <x:f>IF(OR(AC219="Open",AD219="Open"),"Open",IF(AND(AC219="Match",AD219="Match",W219=T219),"Matched","Exception"))</x:f>
        <x:v>Open</x:v>
      </x:c>
      <x:c r="AF219" s="40" t="n">
        <x:f>MAX(L219-T219,0)</x:f>
        <x:v>150</x:v>
      </x:c>
    </x:row>
    <x:row r="220">
      <x:c r="A220" t="str">
        <x:v>PR100219</x:v>
      </x:c>
      <x:c r="B220" s="36" t="n">
        <x:v>46238</x:v>
      </x:c>
      <x:c r="C220" t="str">
        <x:v>Civil Projects</x:v>
      </x:c>
      <x:c r="D220" t="str">
        <x:v>PRJ-005</x:v>
      </x:c>
      <x:c r="E220" t="str">
        <x:v>MAT023</x:v>
      </x:c>
      <x:c r="F220" t="str">
        <x:v>Measuring Tape 5m</x:v>
      </x:c>
      <x:c r="G220" t="str">
        <x:v>Tools</x:v>
      </x:c>
      <x:c r="H220" t="str">
        <x:v>EA</x:v>
      </x:c>
      <x:c r="I220" t="str">
        <x:v>SUP007</x:v>
      </x:c>
      <x:c r="J220" t="str">
        <x:v>Precision Tools India</x:v>
      </x:c>
      <x:c r="K220" t="str">
        <x:v>Telangana</x:v>
      </x:c>
      <x:c r="L220" s="40" t="n">
        <x:v>30</x:v>
      </x:c>
      <x:c r="M220" t="str">
        <x:v>PO200219</x:v>
      </x:c>
      <x:c r="N220" s="36" t="n">
        <x:v>46239</x:v>
      </x:c>
      <x:c r="O220" s="38" t="n">
        <x:v>329.93</x:v>
      </x:c>
      <x:c r="P220" t="str">
        <x:v>60 Days</x:v>
      </x:c>
      <x:c r="Q220" t="str">
        <x:v>A. Reddy</x:v>
      </x:c>
      <x:c r="R220" s="36" t="n">
        <x:v>46245</x:v>
      </x:c>
      <x:c r="S220" s="36" t="n">
        <x:v>46255</x:v>
      </x:c>
      <x:c r="T220" s="40" t="n">
        <x:v>30</x:v>
      </x:c>
      <x:c r="U220" t="str">
        <x:v>INV300219</x:v>
      </x:c>
      <x:c r="V220" s="36" t="n">
        <x:v>46262</x:v>
      </x:c>
      <x:c r="W220" s="40" t="n">
        <x:v>30</x:v>
      </x:c>
      <x:c r="X220" s="38" t="n">
        <x:v>9897.9</x:v>
      </x:c>
      <x:c r="Y220" t="str">
        <x:v>Paid</x:v>
      </x:c>
      <x:c r="Z220" s="38" t="n">
        <x:f>ROUND(L220*O220,2)</x:f>
        <x:v>9897.9</x:v>
      </x:c>
      <x:c r="AA220" t="n">
        <x:f>IF(S220="","",S220-N220)</x:f>
        <x:v>16</x:v>
      </x:c>
      <x:c r="AB220" t="str">
        <x:f>IF(S220="","Open",IF(S220&lt;=R220,"On Time","Late"))</x:f>
        <x:v>Late</x:v>
      </x:c>
      <x:c r="AC220" t="str">
        <x:f>IF(S220="","Open",IF(T220=L220,"Match","Mismatch"))</x:f>
        <x:v>Match</x:v>
      </x:c>
      <x:c r="AD220" t="str">
        <x:f>IF(V220="","Open",IF(ABS(X220-Z220)&lt;=1,"Match","Mismatch"))</x:f>
        <x:v>Match</x:v>
      </x:c>
      <x:c r="AE220" t="str">
        <x:f>IF(OR(AC220="Open",AD220="Open"),"Open",IF(AND(AC220="Match",AD220="Match",W220=T220),"Matched","Exception"))</x:f>
        <x:v>Matched</x:v>
      </x:c>
      <x:c r="AF220" s="40" t="n">
        <x:f>MAX(L220-T220,0)</x:f>
        <x:v>0</x:v>
      </x:c>
    </x:row>
    <x:row r="221">
      <x:c r="A221" t="str">
        <x:v>PR100220</x:v>
      </x:c>
      <x:c r="B221" s="36" t="n">
        <x:v>46128</x:v>
      </x:c>
      <x:c r="C221" t="str">
        <x:v>Facilities</x:v>
      </x:c>
      <x:c r="D221" t="str">
        <x:v>PRJ-006</x:v>
      </x:c>
      <x:c r="E221" t="str">
        <x:v>MAT017</x:v>
      </x:c>
      <x:c r="F221" t="str">
        <x:v>LED Flood Light 100W</x:v>
      </x:c>
      <x:c r="G221" t="str">
        <x:v>Electrical</x:v>
      </x:c>
      <x:c r="H221" t="str">
        <x:v>EA</x:v>
      </x:c>
      <x:c r="I221" t="str">
        <x:v>SUP004</x:v>
      </x:c>
      <x:c r="J221" t="str">
        <x:v>Southline Electricals</x:v>
      </x:c>
      <x:c r="K221" t="str">
        <x:v>Telangana</x:v>
      </x:c>
      <x:c r="L221" s="40" t="n">
        <x:v>25</x:v>
      </x:c>
      <x:c r="M221" t="str">
        <x:v>PO200220</x:v>
      </x:c>
      <x:c r="N221" s="36" t="n">
        <x:v>46133</x:v>
      </x:c>
      <x:c r="O221" s="38" t="n">
        <x:v>2966.37</x:v>
      </x:c>
      <x:c r="P221" t="str">
        <x:v>45 Days</x:v>
      </x:c>
      <x:c r="Q221" t="str">
        <x:v>R. Sharma</x:v>
      </x:c>
      <x:c r="R221" s="36" t="n">
        <x:v>46142</x:v>
      </x:c>
      <x:c r="S221" s="36" t="n">
        <x:v>46142</x:v>
      </x:c>
      <x:c r="T221" s="40" t="n">
        <x:v>25</x:v>
      </x:c>
      <x:c r="U221" t="str">
        <x:v>INV300220</x:v>
      </x:c>
      <x:c r="V221" s="36" t="n">
        <x:v>46145</x:v>
      </x:c>
      <x:c r="W221" s="40" t="n">
        <x:v>25</x:v>
      </x:c>
      <x:c r="X221" s="38" t="n">
        <x:v>74159.25</x:v>
      </x:c>
      <x:c r="Y221" t="str">
        <x:v>Paid</x:v>
      </x:c>
      <x:c r="Z221" s="38" t="n">
        <x:f>ROUND(L221*O221,2)</x:f>
        <x:v>74159.25</x:v>
      </x:c>
      <x:c r="AA221" t="n">
        <x:f>IF(S221="","",S221-N221)</x:f>
        <x:v>9</x:v>
      </x:c>
      <x:c r="AB221" t="str">
        <x:f>IF(S221="","Open",IF(S221&lt;=R221,"On Time","Late"))</x:f>
        <x:v>On Time</x:v>
      </x:c>
      <x:c r="AC221" t="str">
        <x:f>IF(S221="","Open",IF(T221=L221,"Match","Mismatch"))</x:f>
        <x:v>Match</x:v>
      </x:c>
      <x:c r="AD221" t="str">
        <x:f>IF(V221="","Open",IF(ABS(X221-Z221)&lt;=1,"Match","Mismatch"))</x:f>
        <x:v>Match</x:v>
      </x:c>
      <x:c r="AE221" t="str">
        <x:f>IF(OR(AC221="Open",AD221="Open"),"Open",IF(AND(AC221="Match",AD221="Match",W221=T221),"Matched","Exception"))</x:f>
        <x:v>Matched</x:v>
      </x:c>
      <x:c r="AF221" s="40" t="n">
        <x:f>MAX(L221-T221,0)</x:f>
        <x:v>0</x:v>
      </x:c>
    </x:row>
    <x:row r="222">
      <x:c r="A222" t="str">
        <x:v>PR100221</x:v>
      </x:c>
      <x:c r="B222" s="36" t="n">
        <x:v>46187</x:v>
      </x:c>
      <x:c r="C222" t="str">
        <x:v>Civil Projects</x:v>
      </x:c>
      <x:c r="D222" t="str">
        <x:v>PRJ-003</x:v>
      </x:c>
      <x:c r="E222" t="str">
        <x:v>MAT011</x:v>
      </x:c>
      <x:c r="F222" t="str">
        <x:v>Red Clay Brick</x:v>
      </x:c>
      <x:c r="G222" t="str">
        <x:v>Masonry</x:v>
      </x:c>
      <x:c r="H222" t="str">
        <x:v>EA</x:v>
      </x:c>
      <x:c r="I222" t="str">
        <x:v>SUP009</x:v>
      </x:c>
      <x:c r="J222" t="str">
        <x:v>Nava Bharat Hardware</x:v>
      </x:c>
      <x:c r="K222" t="str">
        <x:v>Andhra Pradesh</x:v>
      </x:c>
      <x:c r="L222" s="40" t="n">
        <x:v>75</x:v>
      </x:c>
      <x:c r="M222" t="str">
        <x:v>PO200221</x:v>
      </x:c>
      <x:c r="N222" s="36" t="n">
        <x:v>46188</x:v>
      </x:c>
      <x:c r="O222" s="38" t="n">
        <x:v>10.67</x:v>
      </x:c>
      <x:c r="P222" t="str">
        <x:v>60 Days</x:v>
      </x:c>
      <x:c r="Q222" t="str">
        <x:v>A. Reddy</x:v>
      </x:c>
      <x:c r="R222" s="36" t="n">
        <x:v>46203</x:v>
      </x:c>
      <x:c r="S222" s="36" t="n">
        <x:v>46201</x:v>
      </x:c>
      <x:c r="T222" s="40" t="n">
        <x:v>75</x:v>
      </x:c>
      <x:c r="U222" t="str">
        <x:v>INV300221</x:v>
      </x:c>
      <x:c r="V222" s="36" t="n">
        <x:v>46205</x:v>
      </x:c>
      <x:c r="W222" s="40" t="n">
        <x:v>75</x:v>
      </x:c>
      <x:c r="X222" s="38" t="n">
        <x:v>800.25</x:v>
      </x:c>
      <x:c r="Y222" t="str">
        <x:v>Paid</x:v>
      </x:c>
      <x:c r="Z222" s="38" t="n">
        <x:f>ROUND(L222*O222,2)</x:f>
        <x:v>800.25</x:v>
      </x:c>
      <x:c r="AA222" t="n">
        <x:f>IF(S222="","",S222-N222)</x:f>
        <x:v>13</x:v>
      </x:c>
      <x:c r="AB222" t="str">
        <x:f>IF(S222="","Open",IF(S222&lt;=R222,"On Time","Late"))</x:f>
        <x:v>On Time</x:v>
      </x:c>
      <x:c r="AC222" t="str">
        <x:f>IF(S222="","Open",IF(T222=L222,"Match","Mismatch"))</x:f>
        <x:v>Match</x:v>
      </x:c>
      <x:c r="AD222" t="str">
        <x:f>IF(V222="","Open",IF(ABS(X222-Z222)&lt;=1,"Match","Mismatch"))</x:f>
        <x:v>Match</x:v>
      </x:c>
      <x:c r="AE222" t="str">
        <x:f>IF(OR(AC222="Open",AD222="Open"),"Open",IF(AND(AC222="Match",AD222="Match",W222=T222),"Matched","Exception"))</x:f>
        <x:v>Matched</x:v>
      </x:c>
      <x:c r="AF222" s="40" t="n">
        <x:f>MAX(L222-T222,0)</x:f>
        <x:v>0</x:v>
      </x:c>
    </x:row>
    <x:row r="223">
      <x:c r="A223" t="str">
        <x:v>PR100222</x:v>
      </x:c>
      <x:c r="B223" s="36" t="n">
        <x:v>46127</x:v>
      </x:c>
      <x:c r="C223" t="str">
        <x:v>Maintenance</x:v>
      </x:c>
      <x:c r="D223" t="str">
        <x:v>PRJ-003</x:v>
      </x:c>
      <x:c r="E223" t="str">
        <x:v>MAT018</x:v>
      </x:c>
      <x:c r="F223" t="str">
        <x:v>Safety Helmet</x:v>
      </x:c>
      <x:c r="G223" t="str">
        <x:v>Safety</x:v>
      </x:c>
      <x:c r="H223" t="str">
        <x:v>EA</x:v>
      </x:c>
      <x:c r="I223" t="str">
        <x:v>SUP006</x:v>
      </x:c>
      <x:c r="J223" t="str">
        <x:v>SafeSite Industrial</x:v>
      </x:c>
      <x:c r="K223" t="str">
        <x:v>Karnataka</x:v>
      </x:c>
      <x:c r="L223" s="40" t="n">
        <x:v>20</x:v>
      </x:c>
      <x:c r="M223" t="str">
        <x:v>PO200222</x:v>
      </x:c>
      <x:c r="N223" s="36" t="n">
        <x:v>46129</x:v>
      </x:c>
      <x:c r="O223" s="38" t="n">
        <x:v>421.43</x:v>
      </x:c>
      <x:c r="P223" t="str">
        <x:v>45 Days</x:v>
      </x:c>
      <x:c r="Q223" t="str">
        <x:v>R. Sharma</x:v>
      </x:c>
      <x:c r="R223" s="36" t="n">
        <x:v>46144</x:v>
      </x:c>
      <x:c r="S223" s="36" t="n">
        <x:v>46141</x:v>
      </x:c>
      <x:c r="T223" s="40" t="n">
        <x:v>20</x:v>
      </x:c>
      <x:c r="U223" t="str">
        <x:v>INV300222</x:v>
      </x:c>
      <x:c r="V223" s="36" t="n">
        <x:v>46143</x:v>
      </x:c>
      <x:c r="W223" s="40" t="n">
        <x:v>20</x:v>
      </x:c>
      <x:c r="X223" s="38" t="n">
        <x:v>8428.6</x:v>
      </x:c>
      <x:c r="Y223" t="str">
        <x:v>Paid</x:v>
      </x:c>
      <x:c r="Z223" s="38" t="n">
        <x:f>ROUND(L223*O223,2)</x:f>
        <x:v>8428.6</x:v>
      </x:c>
      <x:c r="AA223" t="n">
        <x:f>IF(S223="","",S223-N223)</x:f>
        <x:v>12</x:v>
      </x:c>
      <x:c r="AB223" t="str">
        <x:f>IF(S223="","Open",IF(S223&lt;=R223,"On Time","Late"))</x:f>
        <x:v>On Time</x:v>
      </x:c>
      <x:c r="AC223" t="str">
        <x:f>IF(S223="","Open",IF(T223=L223,"Match","Mismatch"))</x:f>
        <x:v>Match</x:v>
      </x:c>
      <x:c r="AD223" t="str">
        <x:f>IF(V223="","Open",IF(ABS(X223-Z223)&lt;=1,"Match","Mismatch"))</x:f>
        <x:v>Match</x:v>
      </x:c>
      <x:c r="AE223" t="str">
        <x:f>IF(OR(AC223="Open",AD223="Open"),"Open",IF(AND(AC223="Match",AD223="Match",W223=T223),"Matched","Exception"))</x:f>
        <x:v>Matched</x:v>
      </x:c>
      <x:c r="AF223" s="40" t="n">
        <x:f>MAX(L223-T223,0)</x:f>
        <x:v>0</x:v>
      </x:c>
    </x:row>
    <x:row r="224">
      <x:c r="A224" t="str">
        <x:v>PR100223</x:v>
      </x:c>
      <x:c r="B224" s="36" t="n">
        <x:v>46095</x:v>
      </x:c>
      <x:c r="C224" t="str">
        <x:v>Facilities</x:v>
      </x:c>
      <x:c r="D224" t="str">
        <x:v>PRJ-008</x:v>
      </x:c>
      <x:c r="E224" t="str">
        <x:v>MAT015</x:v>
      </x:c>
      <x:c r="F224" t="str">
        <x:v>Copper Cable 4 sqmm</x:v>
      </x:c>
      <x:c r="G224" t="str">
        <x:v>Electrical</x:v>
      </x:c>
      <x:c r="H224" t="str">
        <x:v>M</x:v>
      </x:c>
      <x:c r="I224" t="str">
        <x:v>SUP011</x:v>
      </x:c>
      <x:c r="J224" t="str">
        <x:v>Vertex Industrial Supply</x:v>
      </x:c>
      <x:c r="K224" t="str">
        <x:v>Maharashtra</x:v>
      </x:c>
      <x:c r="L224" s="40" t="n">
        <x:v>150</x:v>
      </x:c>
      <x:c r="M224" t="str">
        <x:v>PO200223</x:v>
      </x:c>
      <x:c r="N224" s="36" t="n">
        <x:v>46101</x:v>
      </x:c>
      <x:c r="O224" s="38" t="n">
        <x:v>71.38</x:v>
      </x:c>
      <x:c r="P224" t="str">
        <x:v>45 Days</x:v>
      </x:c>
      <x:c r="Q224" t="str">
        <x:v>A. Reddy</x:v>
      </x:c>
      <x:c r="R224" s="36" t="n">
        <x:v>46113</x:v>
      </x:c>
      <x:c r="S224" s="36" t="n">
        <x:v>46112</x:v>
      </x:c>
      <x:c r="T224" s="40" t="n">
        <x:v>150</x:v>
      </x:c>
      <x:c r="U224" t="str">
        <x:v>INV300223</x:v>
      </x:c>
      <x:c r="V224" s="36" t="n">
        <x:v>46114</x:v>
      </x:c>
      <x:c r="W224" s="40" t="n">
        <x:v>150</x:v>
      </x:c>
      <x:c r="X224" s="38" t="n">
        <x:v>10707</x:v>
      </x:c>
      <x:c r="Y224" t="str">
        <x:v>Blocked for Review</x:v>
      </x:c>
      <x:c r="Z224" s="38" t="n">
        <x:f>ROUND(L224*O224,2)</x:f>
        <x:v>10707</x:v>
      </x:c>
      <x:c r="AA224" t="n">
        <x:f>IF(S224="","",S224-N224)</x:f>
        <x:v>11</x:v>
      </x:c>
      <x:c r="AB224" t="str">
        <x:f>IF(S224="","Open",IF(S224&lt;=R224,"On Time","Late"))</x:f>
        <x:v>On Time</x:v>
      </x:c>
      <x:c r="AC224" t="str">
        <x:f>IF(S224="","Open",IF(T224=L224,"Match","Mismatch"))</x:f>
        <x:v>Match</x:v>
      </x:c>
      <x:c r="AD224" t="str">
        <x:f>IF(V224="","Open",IF(ABS(X224-Z224)&lt;=1,"Match","Mismatch"))</x:f>
        <x:v>Match</x:v>
      </x:c>
      <x:c r="AE224" t="str">
        <x:f>IF(OR(AC224="Open",AD224="Open"),"Open",IF(AND(AC224="Match",AD224="Match",W224=T224),"Matched","Exception"))</x:f>
        <x:v>Matched</x:v>
      </x:c>
      <x:c r="AF224" s="40" t="n">
        <x:f>MAX(L224-T224,0)</x:f>
        <x:v>0</x:v>
      </x:c>
    </x:row>
    <x:row r="225">
      <x:c r="A225" t="str">
        <x:v>PR100224</x:v>
      </x:c>
      <x:c r="B225" s="36" t="n">
        <x:v>46145</x:v>
      </x:c>
      <x:c r="C225" t="str">
        <x:v>Operations</x:v>
      </x:c>
      <x:c r="D225" t="str">
        <x:v>PRJ-005</x:v>
      </x:c>
      <x:c r="E225" t="str">
        <x:v>MAT015</x:v>
      </x:c>
      <x:c r="F225" t="str">
        <x:v>Copper Cable 4 sqmm</x:v>
      </x:c>
      <x:c r="G225" t="str">
        <x:v>Electrical</x:v>
      </x:c>
      <x:c r="H225" t="str">
        <x:v>M</x:v>
      </x:c>
      <x:c r="I225" t="str">
        <x:v>SUP011</x:v>
      </x:c>
      <x:c r="J225" t="str">
        <x:v>Vertex Industrial Supply</x:v>
      </x:c>
      <x:c r="K225" t="str">
        <x:v>Maharashtra</x:v>
      </x:c>
      <x:c r="L225" s="40" t="n">
        <x:v>250</x:v>
      </x:c>
      <x:c r="M225" t="str">
        <x:v>PO200224</x:v>
      </x:c>
      <x:c r="N225" s="36" t="n">
        <x:v>46147</x:v>
      </x:c>
      <x:c r="O225" s="38" t="n">
        <x:v>66.79</x:v>
      </x:c>
      <x:c r="P225" t="str">
        <x:v>60 Days</x:v>
      </x:c>
      <x:c r="Q225" t="str">
        <x:v>S. Kumar</x:v>
      </x:c>
      <x:c r="R225" s="36" t="n">
        <x:v>46156</x:v>
      </x:c>
      <x:c r="S225" s="36" t="n">
        <x:v>46154</x:v>
      </x:c>
      <x:c r="T225" s="40" t="n">
        <x:v>250</x:v>
      </x:c>
      <x:c r="U225" t="str">
        <x:v>INV300224</x:v>
      </x:c>
      <x:c r="V225" s="36" t="n">
        <x:v>46158</x:v>
      </x:c>
      <x:c r="W225" s="40" t="n">
        <x:v>250</x:v>
      </x:c>
      <x:c r="X225" s="38" t="n">
        <x:v>17031.45</x:v>
      </x:c>
      <x:c r="Y225" t="str">
        <x:v>Paid</x:v>
      </x:c>
      <x:c r="Z225" s="38" t="n">
        <x:f>ROUND(L225*O225,2)</x:f>
        <x:v>16697.5</x:v>
      </x:c>
      <x:c r="AA225" t="n">
        <x:f>IF(S225="","",S225-N225)</x:f>
        <x:v>7</x:v>
      </x:c>
      <x:c r="AB225" t="str">
        <x:f>IF(S225="","Open",IF(S225&lt;=R225,"On Time","Late"))</x:f>
        <x:v>On Time</x:v>
      </x:c>
      <x:c r="AC225" t="str">
        <x:f>IF(S225="","Open",IF(T225=L225,"Match","Mismatch"))</x:f>
        <x:v>Match</x:v>
      </x:c>
      <x:c r="AD225" t="str">
        <x:f>IF(V225="","Open",IF(ABS(X225-Z225)&lt;=1,"Match","Mismatch"))</x:f>
        <x:v>Mismatch</x:v>
      </x:c>
      <x:c r="AE225" t="str">
        <x:f>IF(OR(AC225="Open",AD225="Open"),"Open",IF(AND(AC225="Match",AD225="Match",W225=T225),"Matched","Exception"))</x:f>
        <x:v>Exception</x:v>
      </x:c>
      <x:c r="AF225" s="40" t="n">
        <x:f>MAX(L225-T225,0)</x:f>
        <x:v>0</x:v>
      </x:c>
    </x:row>
    <x:row r="226">
      <x:c r="A226" t="str">
        <x:v>PR100225</x:v>
      </x:c>
      <x:c r="B226" s="36" t="n">
        <x:v>46214</x:v>
      </x:c>
      <x:c r="C226" t="str">
        <x:v>Facilities</x:v>
      </x:c>
      <x:c r="D226" t="str">
        <x:v>PRJ-002</x:v>
      </x:c>
      <x:c r="E226" t="str">
        <x:v>MAT025</x:v>
      </x:c>
      <x:c r="F226" t="str">
        <x:v>Shuttering Plywood 12mm</x:v>
      </x:c>
      <x:c r="G226" t="str">
        <x:v>Formwork</x:v>
      </x:c>
      <x:c r="H226" t="str">
        <x:v>SHEET</x:v>
      </x:c>
      <x:c r="I226" t="str">
        <x:v>SUP012</x:v>
      </x:c>
      <x:c r="J226" t="str">
        <x:v>GreenField Construction Supply</x:v>
      </x:c>
      <x:c r="K226" t="str">
        <x:v>Telangana</x:v>
      </x:c>
      <x:c r="L226" s="40" t="n">
        <x:v>75</x:v>
      </x:c>
      <x:c r="M226" t="str">
        <x:v>PO200225</x:v>
      </x:c>
      <x:c r="N226" s="36" t="n">
        <x:v>46217</x:v>
      </x:c>
      <x:c r="O226" s="38" t="n">
        <x:v>1445.51</x:v>
      </x:c>
      <x:c r="P226" t="str">
        <x:v>60 Days</x:v>
      </x:c>
      <x:c r="Q226" t="str">
        <x:v>M. Priya</x:v>
      </x:c>
      <x:c r="R226" s="36" t="n">
        <x:v>46225</x:v>
      </x:c>
      <x:c r="S226" s="36" t="n">
        <x:v>46223</x:v>
      </x:c>
      <x:c r="T226" s="40" t="n">
        <x:v>75</x:v>
      </x:c>
      <x:c r="U226" t="str">
        <x:v>INV300225</x:v>
      </x:c>
      <x:c r="V226" s="36" t="n">
        <x:v>46227</x:v>
      </x:c>
      <x:c r="W226" s="40" t="n">
        <x:v>75</x:v>
      </x:c>
      <x:c r="X226" s="38" t="n">
        <x:v>106244.99</x:v>
      </x:c>
      <x:c r="Y226" t="str">
        <x:v>Paid</x:v>
      </x:c>
      <x:c r="Z226" s="38" t="n">
        <x:f>ROUND(L226*O226,2)</x:f>
        <x:v>108413.25</x:v>
      </x:c>
      <x:c r="AA226" t="n">
        <x:f>IF(S226="","",S226-N226)</x:f>
        <x:v>6</x:v>
      </x:c>
      <x:c r="AB226" t="str">
        <x:f>IF(S226="","Open",IF(S226&lt;=R226,"On Time","Late"))</x:f>
        <x:v>On Time</x:v>
      </x:c>
      <x:c r="AC226" t="str">
        <x:f>IF(S226="","Open",IF(T226=L226,"Match","Mismatch"))</x:f>
        <x:v>Match</x:v>
      </x:c>
      <x:c r="AD226" t="str">
        <x:f>IF(V226="","Open",IF(ABS(X226-Z226)&lt;=1,"Match","Mismatch"))</x:f>
        <x:v>Mismatch</x:v>
      </x:c>
      <x:c r="AE226" t="str">
        <x:f>IF(OR(AC226="Open",AD226="Open"),"Open",IF(AND(AC226="Match",AD226="Match",W226=T226),"Matched","Exception"))</x:f>
        <x:v>Exception</x:v>
      </x:c>
      <x:c r="AF226" s="40" t="n">
        <x:f>MAX(L226-T226,0)</x:f>
        <x:v>0</x:v>
      </x:c>
    </x:row>
    <x:row r="227">
      <x:c r="A227" t="str">
        <x:v>PR100226</x:v>
      </x:c>
      <x:c r="B227" s="36" t="n">
        <x:v>46122</x:v>
      </x:c>
      <x:c r="C227" t="str">
        <x:v>Maintenance</x:v>
      </x:c>
      <x:c r="D227" t="str">
        <x:v>PRJ-001</x:v>
      </x:c>
      <x:c r="E227" t="str">
        <x:v>MAT014</x:v>
      </x:c>
      <x:c r="F227" t="str">
        <x:v>GI Pipe 50mm</x:v>
      </x:c>
      <x:c r="G227" t="str">
        <x:v>Plumbing</x:v>
      </x:c>
      <x:c r="H227" t="str">
        <x:v>M</x:v>
      </x:c>
      <x:c r="I227" t="str">
        <x:v>SUP005</x:v>
      </x:c>
      <x:c r="J227" t="str">
        <x:v>AquaFlow Pipes &amp; Fittings</x:v>
      </x:c>
      <x:c r="K227" t="str">
        <x:v>Telangana</x:v>
      </x:c>
      <x:c r="L227" s="40" t="n">
        <x:v>150</x:v>
      </x:c>
      <x:c r="M227" t="str">
        <x:v>PO200226</x:v>
      </x:c>
      <x:c r="N227" s="36" t="n">
        <x:v>46124</x:v>
      </x:c>
      <x:c r="O227" s="38" t="n">
        <x:v>561.06</x:v>
      </x:c>
      <x:c r="P227" t="str">
        <x:v>30 Days</x:v>
      </x:c>
      <x:c r="Q227" t="str">
        <x:v>A. Reddy</x:v>
      </x:c>
      <x:c r="R227" s="36" t="n">
        <x:v>46137</x:v>
      </x:c>
      <x:c r="S227" s="36" t="n">
        <x:v>46137</x:v>
      </x:c>
      <x:c r="T227" s="40" t="n">
        <x:v>150</x:v>
      </x:c>
      <x:c r="U227" t="str">
        <x:v>INV300226</x:v>
      </x:c>
      <x:c r="V227" s="36" t="n">
        <x:v>46141</x:v>
      </x:c>
      <x:c r="W227" s="40" t="n">
        <x:v>150</x:v>
      </x:c>
      <x:c r="X227" s="38" t="n">
        <x:v>84159</x:v>
      </x:c>
      <x:c r="Y227" t="str">
        <x:v>Paid</x:v>
      </x:c>
      <x:c r="Z227" s="38" t="n">
        <x:f>ROUND(L227*O227,2)</x:f>
        <x:v>84159</x:v>
      </x:c>
      <x:c r="AA227" t="n">
        <x:f>IF(S227="","",S227-N227)</x:f>
        <x:v>13</x:v>
      </x:c>
      <x:c r="AB227" t="str">
        <x:f>IF(S227="","Open",IF(S227&lt;=R227,"On Time","Late"))</x:f>
        <x:v>On Time</x:v>
      </x:c>
      <x:c r="AC227" t="str">
        <x:f>IF(S227="","Open",IF(T227=L227,"Match","Mismatch"))</x:f>
        <x:v>Match</x:v>
      </x:c>
      <x:c r="AD227" t="str">
        <x:f>IF(V227="","Open",IF(ABS(X227-Z227)&lt;=1,"Match","Mismatch"))</x:f>
        <x:v>Match</x:v>
      </x:c>
      <x:c r="AE227" t="str">
        <x:f>IF(OR(AC227="Open",AD227="Open"),"Open",IF(AND(AC227="Match",AD227="Match",W227=T227),"Matched","Exception"))</x:f>
        <x:v>Matched</x:v>
      </x:c>
      <x:c r="AF227" s="40" t="n">
        <x:f>MAX(L227-T227,0)</x:f>
        <x:v>0</x:v>
      </x:c>
    </x:row>
    <x:row r="228">
      <x:c r="A228" t="str">
        <x:v>PR100227</x:v>
      </x:c>
      <x:c r="B228" s="36" t="n">
        <x:v>46095</x:v>
      </x:c>
      <x:c r="C228" t="str">
        <x:v>Operations</x:v>
      </x:c>
      <x:c r="D228" t="str">
        <x:v>PRJ-002</x:v>
      </x:c>
      <x:c r="E228" t="str">
        <x:v>MAT009</x:v>
      </x:c>
      <x:c r="F228" t="str">
        <x:v>40mm Aggregate</x:v>
      </x:c>
      <x:c r="G228" t="str">
        <x:v>Aggregates</x:v>
      </x:c>
      <x:c r="H228" t="str">
        <x:v>TON</x:v>
      </x:c>
      <x:c r="I228" t="str">
        <x:v>SUP003</x:v>
      </x:c>
      <x:c r="J228" t="str">
        <x:v>BuildRight Aggregates</x:v>
      </x:c>
      <x:c r="K228" t="str">
        <x:v>Telangana</x:v>
      </x:c>
      <x:c r="L228" s="40" t="n">
        <x:v>5</x:v>
      </x:c>
      <x:c r="M228" t="str">
        <x:v>PO200227</x:v>
      </x:c>
      <x:c r="N228" s="36" t="n">
        <x:v>46097</x:v>
      </x:c>
      <x:c r="O228" s="38" t="n">
        <x:v>1120.93</x:v>
      </x:c>
      <x:c r="P228" t="str">
        <x:v>30 Days</x:v>
      </x:c>
      <x:c r="Q228" t="str">
        <x:v>R. Sharma</x:v>
      </x:c>
      <x:c r="R228" s="36" t="n">
        <x:v>46103</x:v>
      </x:c>
      <x:c r="S228" s="36" t="n">
        <x:v>46100</x:v>
      </x:c>
      <x:c r="T228" s="40" t="n">
        <x:v>5</x:v>
      </x:c>
      <x:c r="U228" t="str">
        <x:v>INV300227</x:v>
      </x:c>
      <x:c r="V228" s="36" t="n">
        <x:v>46105</x:v>
      </x:c>
      <x:c r="W228" s="40" t="n">
        <x:v>5</x:v>
      </x:c>
      <x:c r="X228" s="38" t="n">
        <x:v>5604.65</x:v>
      </x:c>
      <x:c r="Y228" t="str">
        <x:v>Paid</x:v>
      </x:c>
      <x:c r="Z228" s="38" t="n">
        <x:f>ROUND(L228*O228,2)</x:f>
        <x:v>5604.65</x:v>
      </x:c>
      <x:c r="AA228" t="n">
        <x:f>IF(S228="","",S228-N228)</x:f>
        <x:v>3</x:v>
      </x:c>
      <x:c r="AB228" t="str">
        <x:f>IF(S228="","Open",IF(S228&lt;=R228,"On Time","Late"))</x:f>
        <x:v>On Time</x:v>
      </x:c>
      <x:c r="AC228" t="str">
        <x:f>IF(S228="","Open",IF(T228=L228,"Match","Mismatch"))</x:f>
        <x:v>Match</x:v>
      </x:c>
      <x:c r="AD228" t="str">
        <x:f>IF(V228="","Open",IF(ABS(X228-Z228)&lt;=1,"Match","Mismatch"))</x:f>
        <x:v>Match</x:v>
      </x:c>
      <x:c r="AE228" t="str">
        <x:f>IF(OR(AC228="Open",AD228="Open"),"Open",IF(AND(AC228="Match",AD228="Match",W228=T228),"Matched","Exception"))</x:f>
        <x:v>Matched</x:v>
      </x:c>
      <x:c r="AF228" s="40" t="n">
        <x:f>MAX(L228-T228,0)</x:f>
        <x:v>0</x:v>
      </x:c>
    </x:row>
    <x:row r="229">
      <x:c r="A229" t="str">
        <x:v>PR100228</x:v>
      </x:c>
      <x:c r="B229" s="36" t="n">
        <x:v>46273</x:v>
      </x:c>
      <x:c r="C229" t="str">
        <x:v>Maintenance</x:v>
      </x:c>
      <x:c r="D229" t="str">
        <x:v>PRJ-002</x:v>
      </x:c>
      <x:c r="E229" t="str">
        <x:v>MAT039</x:v>
      </x:c>
      <x:c r="F229" t="str">
        <x:v>Door Hinge SS</x:v>
      </x:c>
      <x:c r="G229" t="str">
        <x:v>Hardware</x:v>
      </x:c>
      <x:c r="H229" t="str">
        <x:v>PAIR</x:v>
      </x:c>
      <x:c r="I229" t="str">
        <x:v>SUP011</x:v>
      </x:c>
      <x:c r="J229" t="str">
        <x:v>Vertex Industrial Supply</x:v>
      </x:c>
      <x:c r="K229" t="str">
        <x:v>Maharashtra</x:v>
      </x:c>
      <x:c r="L229" s="40" t="n">
        <x:v>75</x:v>
      </x:c>
      <x:c r="M229" t="str">
        <x:v>PO200228</x:v>
      </x:c>
      <x:c r="N229" s="36" t="n">
        <x:v>46274</x:v>
      </x:c>
      <x:c r="O229" s="38" t="n">
        <x:v>390.7</x:v>
      </x:c>
      <x:c r="P229" t="str">
        <x:v>30 Days</x:v>
      </x:c>
      <x:c r="Q229" t="str">
        <x:v>R. Sharma</x:v>
      </x:c>
      <x:c r="R229" s="36" t="n">
        <x:v>46291</x:v>
      </x:c>
      <x:c r="S229" s="36" t="n">
        <x:v>46290</x:v>
      </x:c>
      <x:c r="T229" s="40" t="n">
        <x:v>75</x:v>
      </x:c>
      <x:c r="U229" t="str">
        <x:v>INV300228</x:v>
      </x:c>
      <x:c r="V229" s="36" t="n">
        <x:v>46295</x:v>
      </x:c>
      <x:c r="W229" s="40" t="n">
        <x:v>75</x:v>
      </x:c>
      <x:c r="X229" s="38" t="n">
        <x:v>29302.5</x:v>
      </x:c>
      <x:c r="Y229" t="str">
        <x:v>Paid</x:v>
      </x:c>
      <x:c r="Z229" s="38" t="n">
        <x:f>ROUND(L229*O229,2)</x:f>
        <x:v>29302.5</x:v>
      </x:c>
      <x:c r="AA229" t="n">
        <x:f>IF(S229="","",S229-N229)</x:f>
        <x:v>16</x:v>
      </x:c>
      <x:c r="AB229" t="str">
        <x:f>IF(S229="","Open",IF(S229&lt;=R229,"On Time","Late"))</x:f>
        <x:v>On Time</x:v>
      </x:c>
      <x:c r="AC229" t="str">
        <x:f>IF(S229="","Open",IF(T229=L229,"Match","Mismatch"))</x:f>
        <x:v>Match</x:v>
      </x:c>
      <x:c r="AD229" t="str">
        <x:f>IF(V229="","Open",IF(ABS(X229-Z229)&lt;=1,"Match","Mismatch"))</x:f>
        <x:v>Match</x:v>
      </x:c>
      <x:c r="AE229" t="str">
        <x:f>IF(OR(AC229="Open",AD229="Open"),"Open",IF(AND(AC229="Match",AD229="Match",W229=T229),"Matched","Exception"))</x:f>
        <x:v>Matched</x:v>
      </x:c>
      <x:c r="AF229" s="40" t="n">
        <x:f>MAX(L229-T229,0)</x:f>
        <x:v>0</x:v>
      </x:c>
    </x:row>
    <x:row r="230">
      <x:c r="A230" t="str">
        <x:v>PR100229</x:v>
      </x:c>
      <x:c r="B230" s="36" t="n">
        <x:v>46082</x:v>
      </x:c>
      <x:c r="C230" t="str">
        <x:v>Civil Projects</x:v>
      </x:c>
      <x:c r="D230" t="str">
        <x:v>PRJ-002</x:v>
      </x:c>
      <x:c r="E230" t="str">
        <x:v>MAT025</x:v>
      </x:c>
      <x:c r="F230" t="str">
        <x:v>Shuttering Plywood 12mm</x:v>
      </x:c>
      <x:c r="G230" t="str">
        <x:v>Formwork</x:v>
      </x:c>
      <x:c r="H230" t="str">
        <x:v>SHEET</x:v>
      </x:c>
      <x:c r="I230" t="str">
        <x:v>SUP010</x:v>
      </x:c>
      <x:c r="J230" t="str">
        <x:v>Urban Infra Materials</x:v>
      </x:c>
      <x:c r="K230" t="str">
        <x:v>Karnataka</x:v>
      </x:c>
      <x:c r="L230" s="40" t="n">
        <x:v>150</x:v>
      </x:c>
      <x:c r="M230" t="str">
        <x:v>PO200229</x:v>
      </x:c>
      <x:c r="N230" s="36" t="n">
        <x:v>46082</x:v>
      </x:c>
      <x:c r="O230" s="38" t="n">
        <x:v>1377.01</x:v>
      </x:c>
      <x:c r="P230" t="str">
        <x:v>45 Days</x:v>
      </x:c>
      <x:c r="Q230" t="str">
        <x:v>S. Kumar</x:v>
      </x:c>
      <x:c r="R230" s="36" t="n">
        <x:v>46094</x:v>
      </x:c>
      <x:c r="S230" s="36" t="n">
        <x:v>46093</x:v>
      </x:c>
      <x:c r="T230" s="40" t="n">
        <x:v>150</x:v>
      </x:c>
      <x:c r="U230" t="str">
        <x:v>INV300229</x:v>
      </x:c>
      <x:c r="V230" s="36" t="n">
        <x:v>46098</x:v>
      </x:c>
      <x:c r="W230" s="40" t="n">
        <x:v>150</x:v>
      </x:c>
      <x:c r="X230" s="38" t="n">
        <x:v>206551.5</x:v>
      </x:c>
      <x:c r="Y230" t="str">
        <x:v>Paid</x:v>
      </x:c>
      <x:c r="Z230" s="38" t="n">
        <x:f>ROUND(L230*O230,2)</x:f>
        <x:v>206551.5</x:v>
      </x:c>
      <x:c r="AA230" t="n">
        <x:f>IF(S230="","",S230-N230)</x:f>
        <x:v>11</x:v>
      </x:c>
      <x:c r="AB230" t="str">
        <x:f>IF(S230="","Open",IF(S230&lt;=R230,"On Time","Late"))</x:f>
        <x:v>On Time</x:v>
      </x:c>
      <x:c r="AC230" t="str">
        <x:f>IF(S230="","Open",IF(T230=L230,"Match","Mismatch"))</x:f>
        <x:v>Match</x:v>
      </x:c>
      <x:c r="AD230" t="str">
        <x:f>IF(V230="","Open",IF(ABS(X230-Z230)&lt;=1,"Match","Mismatch"))</x:f>
        <x:v>Match</x:v>
      </x:c>
      <x:c r="AE230" t="str">
        <x:f>IF(OR(AC230="Open",AD230="Open"),"Open",IF(AND(AC230="Match",AD230="Match",W230=T230),"Matched","Exception"))</x:f>
        <x:v>Matched</x:v>
      </x:c>
      <x:c r="AF230" s="40" t="n">
        <x:f>MAX(L230-T230,0)</x:f>
        <x:v>0</x:v>
      </x:c>
    </x:row>
    <x:row r="231">
      <x:c r="A231" t="str">
        <x:v>PR100230</x:v>
      </x:c>
      <x:c r="B231" s="36" t="n">
        <x:v>46247</x:v>
      </x:c>
      <x:c r="C231" t="str">
        <x:v>Civil Projects</x:v>
      </x:c>
      <x:c r="D231" t="str">
        <x:v>PRJ-007</x:v>
      </x:c>
      <x:c r="E231" t="str">
        <x:v>MAT039</x:v>
      </x:c>
      <x:c r="F231" t="str">
        <x:v>Door Hinge SS</x:v>
      </x:c>
      <x:c r="G231" t="str">
        <x:v>Hardware</x:v>
      </x:c>
      <x:c r="H231" t="str">
        <x:v>PAIR</x:v>
      </x:c>
      <x:c r="I231" t="str">
        <x:v>SUP009</x:v>
      </x:c>
      <x:c r="J231" t="str">
        <x:v>Nava Bharat Hardware</x:v>
      </x:c>
      <x:c r="K231" t="str">
        <x:v>Andhra Pradesh</x:v>
      </x:c>
      <x:c r="L231" s="40" t="n">
        <x:v>10</x:v>
      </x:c>
      <x:c r="M231" t="str">
        <x:v>PO200230</x:v>
      </x:c>
      <x:c r="N231" s="36" t="n">
        <x:v>46251</x:v>
      </x:c>
      <x:c r="O231" s="38" t="n">
        <x:v>397.32</x:v>
      </x:c>
      <x:c r="P231" t="str">
        <x:v>30 Days</x:v>
      </x:c>
      <x:c r="Q231" t="str">
        <x:v>M. Priya</x:v>
      </x:c>
      <x:c r="R231" s="36" t="n">
        <x:v>46268</x:v>
      </x:c>
      <x:c r="S231" s="36" t="n">
        <x:v>46265</x:v>
      </x:c>
      <x:c r="T231" s="40" t="n">
        <x:v>10</x:v>
      </x:c>
      <x:c r="U231" t="str">
        <x:v>INV300230</x:v>
      </x:c>
      <x:c r="V231" s="36" t="n">
        <x:v>46269</x:v>
      </x:c>
      <x:c r="W231" s="40" t="n">
        <x:v>10</x:v>
      </x:c>
      <x:c r="X231" s="38" t="n">
        <x:v>3973.2</x:v>
      </x:c>
      <x:c r="Y231" t="str">
        <x:v>Pending Approval</x:v>
      </x:c>
      <x:c r="Z231" s="38" t="n">
        <x:f>ROUND(L231*O231,2)</x:f>
        <x:v>3973.2</x:v>
      </x:c>
      <x:c r="AA231" t="n">
        <x:f>IF(S231="","",S231-N231)</x:f>
        <x:v>14</x:v>
      </x:c>
      <x:c r="AB231" t="str">
        <x:f>IF(S231="","Open",IF(S231&lt;=R231,"On Time","Late"))</x:f>
        <x:v>On Time</x:v>
      </x:c>
      <x:c r="AC231" t="str">
        <x:f>IF(S231="","Open",IF(T231=L231,"Match","Mismatch"))</x:f>
        <x:v>Match</x:v>
      </x:c>
      <x:c r="AD231" t="str">
        <x:f>IF(V231="","Open",IF(ABS(X231-Z231)&lt;=1,"Match","Mismatch"))</x:f>
        <x:v>Match</x:v>
      </x:c>
      <x:c r="AE231" t="str">
        <x:f>IF(OR(AC231="Open",AD231="Open"),"Open",IF(AND(AC231="Match",AD231="Match",W231=T231),"Matched","Exception"))</x:f>
        <x:v>Matched</x:v>
      </x:c>
      <x:c r="AF231" s="40" t="n">
        <x:f>MAX(L231-T231,0)</x:f>
        <x:v>0</x:v>
      </x:c>
    </x:row>
    <x:row r="232">
      <x:c r="A232" t="str">
        <x:v>PR100231</x:v>
      </x:c>
      <x:c r="B232" s="36" t="n">
        <x:v>46069</x:v>
      </x:c>
      <x:c r="C232" t="str">
        <x:v>Operations</x:v>
      </x:c>
      <x:c r="D232" t="str">
        <x:v>PRJ-007</x:v>
      </x:c>
      <x:c r="E232" t="str">
        <x:v>MAT031</x:v>
      </x:c>
      <x:c r="F232" t="str">
        <x:v>Office Paper A4</x:v>
      </x:c>
      <x:c r="G232" t="str">
        <x:v>Office Supplies</x:v>
      </x:c>
      <x:c r="H232" t="str">
        <x:v>REAM</x:v>
      </x:c>
      <x:c r="I232" t="str">
        <x:v>SUP008</x:v>
      </x:c>
      <x:c r="J232" t="str">
        <x:v>Prime Office Solutions</x:v>
      </x:c>
      <x:c r="K232" t="str">
        <x:v>Telangana</x:v>
      </x:c>
      <x:c r="L232" s="40" t="n">
        <x:v>150</x:v>
      </x:c>
      <x:c r="M232" t="str">
        <x:v>PO200231</x:v>
      </x:c>
      <x:c r="N232" s="36" t="n">
        <x:v>46073</x:v>
      </x:c>
      <x:c r="O232" s="38" t="n">
        <x:v>317.94</x:v>
      </x:c>
      <x:c r="P232" t="str">
        <x:v>45 Days</x:v>
      </x:c>
      <x:c r="Q232" t="str">
        <x:v>A. Reddy</x:v>
      </x:c>
      <x:c r="R232" s="36" t="n">
        <x:v>46091</x:v>
      </x:c>
      <x:c r="S232" s="36" t="n">
        <x:v>46091</x:v>
      </x:c>
      <x:c r="T232" s="40" t="n">
        <x:v>150</x:v>
      </x:c>
      <x:c r="U232" t="str">
        <x:v>INV300231</x:v>
      </x:c>
      <x:c r="V232" s="36" t="n">
        <x:v>46092</x:v>
      </x:c>
      <x:c r="W232" s="40" t="n">
        <x:v>150</x:v>
      </x:c>
      <x:c r="X232" s="38" t="n">
        <x:v>47691</x:v>
      </x:c>
      <x:c r="Y232" t="str">
        <x:v>Paid</x:v>
      </x:c>
      <x:c r="Z232" s="38" t="n">
        <x:f>ROUND(L232*O232,2)</x:f>
        <x:v>47691</x:v>
      </x:c>
      <x:c r="AA232" t="n">
        <x:f>IF(S232="","",S232-N232)</x:f>
        <x:v>18</x:v>
      </x:c>
      <x:c r="AB232" t="str">
        <x:f>IF(S232="","Open",IF(S232&lt;=R232,"On Time","Late"))</x:f>
        <x:v>On Time</x:v>
      </x:c>
      <x:c r="AC232" t="str">
        <x:f>IF(S232="","Open",IF(T232=L232,"Match","Mismatch"))</x:f>
        <x:v>Match</x:v>
      </x:c>
      <x:c r="AD232" t="str">
        <x:f>IF(V232="","Open",IF(ABS(X232-Z232)&lt;=1,"Match","Mismatch"))</x:f>
        <x:v>Match</x:v>
      </x:c>
      <x:c r="AE232" t="str">
        <x:f>IF(OR(AC232="Open",AD232="Open"),"Open",IF(AND(AC232="Match",AD232="Match",W232=T232),"Matched","Exception"))</x:f>
        <x:v>Matched</x:v>
      </x:c>
      <x:c r="AF232" s="40" t="n">
        <x:f>MAX(L232-T232,0)</x:f>
        <x:v>0</x:v>
      </x:c>
    </x:row>
    <x:row r="233">
      <x:c r="A233" t="str">
        <x:v>PR100232</x:v>
      </x:c>
      <x:c r="B233" s="36" t="n">
        <x:v>46156</x:v>
      </x:c>
      <x:c r="C233" t="str">
        <x:v>Maintenance</x:v>
      </x:c>
      <x:c r="D233" t="str">
        <x:v>PRJ-005</x:v>
      </x:c>
      <x:c r="E233" t="str">
        <x:v>MAT010</x:v>
      </x:c>
      <x:c r="F233" t="str">
        <x:v>AAC Block 600x200x200</x:v>
      </x:c>
      <x:c r="G233" t="str">
        <x:v>Masonry</x:v>
      </x:c>
      <x:c r="H233" t="str">
        <x:v>EA</x:v>
      </x:c>
      <x:c r="I233" t="str">
        <x:v>SUP012</x:v>
      </x:c>
      <x:c r="J233" t="str">
        <x:v>GreenField Construction Supply</x:v>
      </x:c>
      <x:c r="K233" t="str">
        <x:v>Telangana</x:v>
      </x:c>
      <x:c r="L233" s="40" t="n">
        <x:v>200</x:v>
      </x:c>
      <x:c r="M233" t="str">
        <x:v>PO200232</x:v>
      </x:c>
      <x:c r="N233" s="36" t="n">
        <x:v>46160</x:v>
      </x:c>
      <x:c r="O233" s="38" t="n">
        <x:v>90.7</x:v>
      </x:c>
      <x:c r="P233" t="str">
        <x:v>45 Days</x:v>
      </x:c>
      <x:c r="Q233" t="str">
        <x:v>M. Priya</x:v>
      </x:c>
      <x:c r="R233" s="36" t="n">
        <x:v>46170</x:v>
      </x:c>
      <x:c r="S233" s="36" t="n">
        <x:v>46169</x:v>
      </x:c>
      <x:c r="T233" s="40" t="n">
        <x:v>200</x:v>
      </x:c>
      <x:c r="U233" t="str">
        <x:v>INV300232</x:v>
      </x:c>
      <x:c r="V233" s="36" t="n">
        <x:v>46176</x:v>
      </x:c>
      <x:c r="W233" s="40" t="n">
        <x:v>200</x:v>
      </x:c>
      <x:c r="X233" s="38" t="n">
        <x:v>18140</x:v>
      </x:c>
      <x:c r="Y233" t="str">
        <x:v>Paid</x:v>
      </x:c>
      <x:c r="Z233" s="38" t="n">
        <x:f>ROUND(L233*O233,2)</x:f>
        <x:v>18140</x:v>
      </x:c>
      <x:c r="AA233" t="n">
        <x:f>IF(S233="","",S233-N233)</x:f>
        <x:v>9</x:v>
      </x:c>
      <x:c r="AB233" t="str">
        <x:f>IF(S233="","Open",IF(S233&lt;=R233,"On Time","Late"))</x:f>
        <x:v>On Time</x:v>
      </x:c>
      <x:c r="AC233" t="str">
        <x:f>IF(S233="","Open",IF(T233=L233,"Match","Mismatch"))</x:f>
        <x:v>Match</x:v>
      </x:c>
      <x:c r="AD233" t="str">
        <x:f>IF(V233="","Open",IF(ABS(X233-Z233)&lt;=1,"Match","Mismatch"))</x:f>
        <x:v>Match</x:v>
      </x:c>
      <x:c r="AE233" t="str">
        <x:f>IF(OR(AC233="Open",AD233="Open"),"Open",IF(AND(AC233="Match",AD233="Match",W233=T233),"Matched","Exception"))</x:f>
        <x:v>Matched</x:v>
      </x:c>
      <x:c r="AF233" s="40" t="n">
        <x:f>MAX(L233-T233,0)</x:f>
        <x:v>0</x:v>
      </x:c>
    </x:row>
    <x:row r="234">
      <x:c r="A234" t="str">
        <x:v>PR100233</x:v>
      </x:c>
      <x:c r="B234" s="36" t="n">
        <x:v>46087</x:v>
      </x:c>
      <x:c r="C234" t="str">
        <x:v>Maintenance</x:v>
      </x:c>
      <x:c r="D234" t="str">
        <x:v>PRJ-002</x:v>
      </x:c>
      <x:c r="E234" t="str">
        <x:v>MAT026</x:v>
      </x:c>
      <x:c r="F234" t="str">
        <x:v>MS Scaffolding Pipe</x:v>
      </x:c>
      <x:c r="G234" t="str">
        <x:v>Formwork</x:v>
      </x:c>
      <x:c r="H234" t="str">
        <x:v>M</x:v>
      </x:c>
      <x:c r="I234" t="str">
        <x:v>SUP010</x:v>
      </x:c>
      <x:c r="J234" t="str">
        <x:v>Urban Infra Materials</x:v>
      </x:c>
      <x:c r="K234" t="str">
        <x:v>Karnataka</x:v>
      </x:c>
      <x:c r="L234" s="40" t="n">
        <x:v>200</x:v>
      </x:c>
      <x:c r="M234" t="str">
        <x:v>PO200233</x:v>
      </x:c>
      <x:c r="N234" s="36" t="n">
        <x:v>46089</x:v>
      </x:c>
      <x:c r="O234" s="38" t="n">
        <x:v>572.21</x:v>
      </x:c>
      <x:c r="P234" t="str">
        <x:v>30 Days</x:v>
      </x:c>
      <x:c r="Q234" t="str">
        <x:v>M. Priya</x:v>
      </x:c>
      <x:c r="R234" s="36" t="n">
        <x:v>46105</x:v>
      </x:c>
      <x:c r="S234" s="36" t="n">
        <x:v>46105</x:v>
      </x:c>
      <x:c r="T234" s="40" t="n">
        <x:v>200</x:v>
      </x:c>
      <x:c r="U234" t="str">
        <x:v>INV300233</x:v>
      </x:c>
      <x:c r="V234" s="36" t="n">
        <x:v>46111</x:v>
      </x:c>
      <x:c r="W234" s="40" t="n">
        <x:v>199</x:v>
      </x:c>
      <x:c r="X234" s="38" t="n">
        <x:v>114442</x:v>
      </x:c>
      <x:c r="Y234" t="str">
        <x:v>Paid</x:v>
      </x:c>
      <x:c r="Z234" s="38" t="n">
        <x:f>ROUND(L234*O234,2)</x:f>
        <x:v>114442</x:v>
      </x:c>
      <x:c r="AA234" t="n">
        <x:f>IF(S234="","",S234-N234)</x:f>
        <x:v>16</x:v>
      </x:c>
      <x:c r="AB234" t="str">
        <x:f>IF(S234="","Open",IF(S234&lt;=R234,"On Time","Late"))</x:f>
        <x:v>On Time</x:v>
      </x:c>
      <x:c r="AC234" t="str">
        <x:f>IF(S234="","Open",IF(T234=L234,"Match","Mismatch"))</x:f>
        <x:v>Match</x:v>
      </x:c>
      <x:c r="AD234" t="str">
        <x:f>IF(V234="","Open",IF(ABS(X234-Z234)&lt;=1,"Match","Mismatch"))</x:f>
        <x:v>Match</x:v>
      </x:c>
      <x:c r="AE234" t="str">
        <x:f>IF(OR(AC234="Open",AD234="Open"),"Open",IF(AND(AC234="Match",AD234="Match",W234=T234),"Matched","Exception"))</x:f>
        <x:v>Exception</x:v>
      </x:c>
      <x:c r="AF234" s="40" t="n">
        <x:f>MAX(L234-T234,0)</x:f>
        <x:v>0</x:v>
      </x:c>
    </x:row>
    <x:row r="235">
      <x:c r="A235" t="str">
        <x:v>PR100234</x:v>
      </x:c>
      <x:c r="B235" s="36" t="n">
        <x:v>46067</x:v>
      </x:c>
      <x:c r="C235" t="str">
        <x:v>Operations</x:v>
      </x:c>
      <x:c r="D235" t="str">
        <x:v>PRJ-004</x:v>
      </x:c>
      <x:c r="E235" t="str">
        <x:v>MAT015</x:v>
      </x:c>
      <x:c r="F235" t="str">
        <x:v>Copper Cable 4 sqmm</x:v>
      </x:c>
      <x:c r="G235" t="str">
        <x:v>Electrical</x:v>
      </x:c>
      <x:c r="H235" t="str">
        <x:v>M</x:v>
      </x:c>
      <x:c r="I235" t="str">
        <x:v>SUP011</x:v>
      </x:c>
      <x:c r="J235" t="str">
        <x:v>Vertex Industrial Supply</x:v>
      </x:c>
      <x:c r="K235" t="str">
        <x:v>Maharashtra</x:v>
      </x:c>
      <x:c r="L235" s="40" t="n">
        <x:v>750</x:v>
      </x:c>
      <x:c r="M235" t="str">
        <x:v>PO200234</x:v>
      </x:c>
      <x:c r="N235" s="36" t="n">
        <x:v>46068</x:v>
      </x:c>
      <x:c r="O235" s="38" t="n">
        <x:v>74.2</x:v>
      </x:c>
      <x:c r="P235" t="str">
        <x:v>30 Days</x:v>
      </x:c>
      <x:c r="Q235" t="str">
        <x:v>S. Kumar</x:v>
      </x:c>
      <x:c r="R235" s="36" t="n">
        <x:v>46086</x:v>
      </x:c>
      <x:c r="S235" s="36" t="n">
        <x:v>46086</x:v>
      </x:c>
      <x:c r="T235" s="40" t="n">
        <x:v>750</x:v>
      </x:c>
      <x:c r="U235" t="str">
        <x:v>INV300234</x:v>
      </x:c>
      <x:c r="V235" s="36" t="n">
        <x:v>46093</x:v>
      </x:c>
      <x:c r="W235" s="40" t="n">
        <x:v>750</x:v>
      </x:c>
      <x:c r="X235" s="38" t="n">
        <x:v>55650</x:v>
      </x:c>
      <x:c r="Y235" t="str">
        <x:v>Paid</x:v>
      </x:c>
      <x:c r="Z235" s="38" t="n">
        <x:f>ROUND(L235*O235,2)</x:f>
        <x:v>55650</x:v>
      </x:c>
      <x:c r="AA235" t="n">
        <x:f>IF(S235="","",S235-N235)</x:f>
        <x:v>18</x:v>
      </x:c>
      <x:c r="AB235" t="str">
        <x:f>IF(S235="","Open",IF(S235&lt;=R235,"On Time","Late"))</x:f>
        <x:v>On Time</x:v>
      </x:c>
      <x:c r="AC235" t="str">
        <x:f>IF(S235="","Open",IF(T235=L235,"Match","Mismatch"))</x:f>
        <x:v>Match</x:v>
      </x:c>
      <x:c r="AD235" t="str">
        <x:f>IF(V235="","Open",IF(ABS(X235-Z235)&lt;=1,"Match","Mismatch"))</x:f>
        <x:v>Match</x:v>
      </x:c>
      <x:c r="AE235" t="str">
        <x:f>IF(OR(AC235="Open",AD235="Open"),"Open",IF(AND(AC235="Match",AD235="Match",W235=T235),"Matched","Exception"))</x:f>
        <x:v>Matched</x:v>
      </x:c>
      <x:c r="AF235" s="40" t="n">
        <x:f>MAX(L235-T235,0)</x:f>
        <x:v>0</x:v>
      </x:c>
    </x:row>
    <x:row r="236">
      <x:c r="A236" t="str">
        <x:v>PR100235</x:v>
      </x:c>
      <x:c r="B236" s="36" t="n">
        <x:v>46045</x:v>
      </x:c>
      <x:c r="C236" t="str">
        <x:v>Civil Projects</x:v>
      </x:c>
      <x:c r="D236" t="str">
        <x:v>PRJ-002</x:v>
      </x:c>
      <x:c r="E236" t="str">
        <x:v>MAT040</x:v>
      </x:c>
      <x:c r="F236" t="str">
        <x:v>SS Fastener Set</x:v>
      </x:c>
      <x:c r="G236" t="str">
        <x:v>Hardware</x:v>
      </x:c>
      <x:c r="H236" t="str">
        <x:v>SET</x:v>
      </x:c>
      <x:c r="I236" t="str">
        <x:v>SUP009</x:v>
      </x:c>
      <x:c r="J236" t="str">
        <x:v>Nava Bharat Hardware</x:v>
      </x:c>
      <x:c r="K236" t="str">
        <x:v>Andhra Pradesh</x:v>
      </x:c>
      <x:c r="L236" s="40" t="n">
        <x:v>10</x:v>
      </x:c>
      <x:c r="M236" t="str">
        <x:v>PO200235</x:v>
      </x:c>
      <x:c r="N236" s="36" t="n">
        <x:v>46047</x:v>
      </x:c>
      <x:c r="O236" s="38" t="n">
        <x:v>136.95</x:v>
      </x:c>
      <x:c r="P236" t="str">
        <x:v>60 Days</x:v>
      </x:c>
      <x:c r="Q236" t="str">
        <x:v>M. Priya</x:v>
      </x:c>
      <x:c r="R236" s="36" t="n">
        <x:v>46061</x:v>
      </x:c>
      <x:c r="S236" s="36" t="n">
        <x:v>46058</x:v>
      </x:c>
      <x:c r="T236" s="40" t="n">
        <x:v>10</x:v>
      </x:c>
      <x:c r="U236" t="str">
        <x:v>INV300235</x:v>
      </x:c>
      <x:c r="V236" s="36" t="n">
        <x:v>46062</x:v>
      </x:c>
      <x:c r="W236" s="40" t="n">
        <x:v>10</x:v>
      </x:c>
      <x:c r="X236" s="38" t="n">
        <x:v>1369.5</x:v>
      </x:c>
      <x:c r="Y236" t="str">
        <x:v>Paid</x:v>
      </x:c>
      <x:c r="Z236" s="38" t="n">
        <x:f>ROUND(L236*O236,2)</x:f>
        <x:v>1369.5</x:v>
      </x:c>
      <x:c r="AA236" t="n">
        <x:f>IF(S236="","",S236-N236)</x:f>
        <x:v>11</x:v>
      </x:c>
      <x:c r="AB236" t="str">
        <x:f>IF(S236="","Open",IF(S236&lt;=R236,"On Time","Late"))</x:f>
        <x:v>On Time</x:v>
      </x:c>
      <x:c r="AC236" t="str">
        <x:f>IF(S236="","Open",IF(T236=L236,"Match","Mismatch"))</x:f>
        <x:v>Match</x:v>
      </x:c>
      <x:c r="AD236" t="str">
        <x:f>IF(V236="","Open",IF(ABS(X236-Z236)&lt;=1,"Match","Mismatch"))</x:f>
        <x:v>Match</x:v>
      </x:c>
      <x:c r="AE236" t="str">
        <x:f>IF(OR(AC236="Open",AD236="Open"),"Open",IF(AND(AC236="Match",AD236="Match",W236=T236),"Matched","Exception"))</x:f>
        <x:v>Matched</x:v>
      </x:c>
      <x:c r="AF236" s="40" t="n">
        <x:f>MAX(L236-T236,0)</x:f>
        <x:v>0</x:v>
      </x:c>
    </x:row>
    <x:row r="237">
      <x:c r="A237" t="str">
        <x:v>PR100236</x:v>
      </x:c>
      <x:c r="B237" s="36" t="n">
        <x:v>46204</x:v>
      </x:c>
      <x:c r="C237" t="str">
        <x:v>Civil Projects</x:v>
      </x:c>
      <x:c r="D237" t="str">
        <x:v>PRJ-005</x:v>
      </x:c>
      <x:c r="E237" t="str">
        <x:v>MAT036</x:v>
      </x:c>
      <x:c r="F237" t="str">
        <x:v>Cutting Disc 4 inch</x:v>
      </x:c>
      <x:c r="G237" t="str">
        <x:v>Consumables</x:v>
      </x:c>
      <x:c r="H237" t="str">
        <x:v>EA</x:v>
      </x:c>
      <x:c r="I237" t="str">
        <x:v>SUP009</x:v>
      </x:c>
      <x:c r="J237" t="str">
        <x:v>Nava Bharat Hardware</x:v>
      </x:c>
      <x:c r="K237" t="str">
        <x:v>Andhra Pradesh</x:v>
      </x:c>
      <x:c r="L237" s="40" t="n">
        <x:v>30</x:v>
      </x:c>
      <x:c r="M237" t="str">
        <x:v>PO200236</x:v>
      </x:c>
      <x:c r="N237" s="36" t="n">
        <x:v>46206</x:v>
      </x:c>
      <x:c r="O237" s="38" t="n">
        <x:v>48.09</x:v>
      </x:c>
      <x:c r="P237" t="str">
        <x:v>60 Days</x:v>
      </x:c>
      <x:c r="Q237" t="str">
        <x:v>M. Priya</x:v>
      </x:c>
      <x:c r="R237" s="36" t="n">
        <x:v>46219</x:v>
      </x:c>
      <x:c r="S237" s="36" t="n">
        <x:v>46222</x:v>
      </x:c>
      <x:c r="T237" s="40" t="n">
        <x:v>30</x:v>
      </x:c>
      <x:c r="U237" t="str">
        <x:v>INV300236</x:v>
      </x:c>
      <x:c r="V237" s="36" t="n">
        <x:v>46223</x:v>
      </x:c>
      <x:c r="W237" s="40" t="n">
        <x:v>30</x:v>
      </x:c>
      <x:c r="X237" s="38" t="n">
        <x:v>1442.7</x:v>
      </x:c>
      <x:c r="Y237" t="str">
        <x:v>Paid</x:v>
      </x:c>
      <x:c r="Z237" s="38" t="n">
        <x:f>ROUND(L237*O237,2)</x:f>
        <x:v>1442.7</x:v>
      </x:c>
      <x:c r="AA237" t="n">
        <x:f>IF(S237="","",S237-N237)</x:f>
        <x:v>16</x:v>
      </x:c>
      <x:c r="AB237" t="str">
        <x:f>IF(S237="","Open",IF(S237&lt;=R237,"On Time","Late"))</x:f>
        <x:v>Late</x:v>
      </x:c>
      <x:c r="AC237" t="str">
        <x:f>IF(S237="","Open",IF(T237=L237,"Match","Mismatch"))</x:f>
        <x:v>Match</x:v>
      </x:c>
      <x:c r="AD237" t="str">
        <x:f>IF(V237="","Open",IF(ABS(X237-Z237)&lt;=1,"Match","Mismatch"))</x:f>
        <x:v>Match</x:v>
      </x:c>
      <x:c r="AE237" t="str">
        <x:f>IF(OR(AC237="Open",AD237="Open"),"Open",IF(AND(AC237="Match",AD237="Match",W237=T237),"Matched","Exception"))</x:f>
        <x:v>Matched</x:v>
      </x:c>
      <x:c r="AF237" s="40" t="n">
        <x:f>MAX(L237-T237,0)</x:f>
        <x:v>0</x:v>
      </x:c>
    </x:row>
    <x:row r="238">
      <x:c r="A238" t="str">
        <x:v>PR100237</x:v>
      </x:c>
      <x:c r="B238" s="36" t="n">
        <x:v>46274</x:v>
      </x:c>
      <x:c r="C238" t="str">
        <x:v>Facilities</x:v>
      </x:c>
      <x:c r="D238" t="str">
        <x:v>PRJ-006</x:v>
      </x:c>
      <x:c r="E238" t="str">
        <x:v>MAT029</x:v>
      </x:c>
      <x:c r="F238" t="str">
        <x:v>Ceramic Floor Tile</x:v>
      </x:c>
      <x:c r="G238" t="str">
        <x:v>Finishes</x:v>
      </x:c>
      <x:c r="H238" t="str">
        <x:v>SQM</x:v>
      </x:c>
      <x:c r="I238" t="str">
        <x:v>SUP011</x:v>
      </x:c>
      <x:c r="J238" t="str">
        <x:v>Vertex Industrial Supply</x:v>
      </x:c>
      <x:c r="K238" t="str">
        <x:v>Maharashtra</x:v>
      </x:c>
      <x:c r="L238" s="40" t="n">
        <x:v>30</x:v>
      </x:c>
      <x:c r="M238" t="str">
        <x:v>PO200237</x:v>
      </x:c>
      <x:c r="N238" s="36" t="n">
        <x:v>46276</x:v>
      </x:c>
      <x:c r="O238" s="38" t="n">
        <x:v>709.03</x:v>
      </x:c>
      <x:c r="P238" t="str">
        <x:v>45 Days</x:v>
      </x:c>
      <x:c r="Q238" t="str">
        <x:v>M. Priya</x:v>
      </x:c>
      <x:c r="R238" s="36" t="n">
        <x:v>46292</x:v>
      </x:c>
      <x:c r="S238" s="36" t="n">
        <x:v>46289</x:v>
      </x:c>
      <x:c r="T238" s="40" t="n">
        <x:v>30</x:v>
      </x:c>
      <x:c r="U238" t="str">
        <x:v>INV300237</x:v>
      </x:c>
      <x:c r="V238" s="36" t="n">
        <x:v>46290</x:v>
      </x:c>
      <x:c r="W238" s="40" t="n">
        <x:v>30</x:v>
      </x:c>
      <x:c r="X238" s="38" t="n">
        <x:v>21270.9</x:v>
      </x:c>
      <x:c r="Y238" t="str">
        <x:v>Paid</x:v>
      </x:c>
      <x:c r="Z238" s="38" t="n">
        <x:f>ROUND(L238*O238,2)</x:f>
        <x:v>21270.9</x:v>
      </x:c>
      <x:c r="AA238" t="n">
        <x:f>IF(S238="","",S238-N238)</x:f>
        <x:v>13</x:v>
      </x:c>
      <x:c r="AB238" t="str">
        <x:f>IF(S238="","Open",IF(S238&lt;=R238,"On Time","Late"))</x:f>
        <x:v>On Time</x:v>
      </x:c>
      <x:c r="AC238" t="str">
        <x:f>IF(S238="","Open",IF(T238=L238,"Match","Mismatch"))</x:f>
        <x:v>Match</x:v>
      </x:c>
      <x:c r="AD238" t="str">
        <x:f>IF(V238="","Open",IF(ABS(X238-Z238)&lt;=1,"Match","Mismatch"))</x:f>
        <x:v>Match</x:v>
      </x:c>
      <x:c r="AE238" t="str">
        <x:f>IF(OR(AC238="Open",AD238="Open"),"Open",IF(AND(AC238="Match",AD238="Match",W238=T238),"Matched","Exception"))</x:f>
        <x:v>Matched</x:v>
      </x:c>
      <x:c r="AF238" s="40" t="n">
        <x:f>MAX(L238-T238,0)</x:f>
        <x:v>0</x:v>
      </x:c>
    </x:row>
    <x:row r="239">
      <x:c r="A239" t="str">
        <x:v>PR100238</x:v>
      </x:c>
      <x:c r="B239" s="36" t="n">
        <x:v>46161</x:v>
      </x:c>
      <x:c r="C239" t="str">
        <x:v>Facilities</x:v>
      </x:c>
      <x:c r="D239" t="str">
        <x:v>PRJ-008</x:v>
      </x:c>
      <x:c r="E239" t="str">
        <x:v>MAT034</x:v>
      </x:c>
      <x:c r="F239" t="str">
        <x:v>Industrial Adhesive</x:v>
      </x:c>
      <x:c r="G239" t="str">
        <x:v>Consumables</x:v>
      </x:c>
      <x:c r="H239" t="str">
        <x:v>KG</x:v>
      </x:c>
      <x:c r="I239" t="str">
        <x:v>SUP007</x:v>
      </x:c>
      <x:c r="J239" t="str">
        <x:v>Precision Tools India</x:v>
      </x:c>
      <x:c r="K239" t="str">
        <x:v>Telangana</x:v>
      </x:c>
      <x:c r="L239" s="40" t="n">
        <x:v>750</x:v>
      </x:c>
      <x:c r="M239" t="str">
        <x:v>PO200238</x:v>
      </x:c>
      <x:c r="N239" s="36" t="n">
        <x:v>46163</x:v>
      </x:c>
      <x:c r="O239" s="38" t="n">
        <x:v>437.33</x:v>
      </x:c>
      <x:c r="P239" t="str">
        <x:v>60 Days</x:v>
      </x:c>
      <x:c r="Q239" t="str">
        <x:v>S. Kumar</x:v>
      </x:c>
      <x:c r="R239" s="36" t="n">
        <x:v>46168</x:v>
      </x:c>
      <x:c r="S239" s="36" t="n">
        <x:v>46171</x:v>
      </x:c>
      <x:c r="T239" s="40" t="n">
        <x:v>750</x:v>
      </x:c>
      <x:c r="U239" t="str">
        <x:v>INV300238</x:v>
      </x:c>
      <x:c r="V239" s="36" t="n">
        <x:v>46174</x:v>
      </x:c>
      <x:c r="W239" s="40" t="n">
        <x:v>750</x:v>
      </x:c>
      <x:c r="X239" s="38" t="n">
        <x:v>327997.5</x:v>
      </x:c>
      <x:c r="Y239" t="str">
        <x:v>Paid</x:v>
      </x:c>
      <x:c r="Z239" s="38" t="n">
        <x:f>ROUND(L239*O239,2)</x:f>
        <x:v>327997.5</x:v>
      </x:c>
      <x:c r="AA239" t="n">
        <x:f>IF(S239="","",S239-N239)</x:f>
        <x:v>8</x:v>
      </x:c>
      <x:c r="AB239" t="str">
        <x:f>IF(S239="","Open",IF(S239&lt;=R239,"On Time","Late"))</x:f>
        <x:v>Late</x:v>
      </x:c>
      <x:c r="AC239" t="str">
        <x:f>IF(S239="","Open",IF(T239=L239,"Match","Mismatch"))</x:f>
        <x:v>Match</x:v>
      </x:c>
      <x:c r="AD239" t="str">
        <x:f>IF(V239="","Open",IF(ABS(X239-Z239)&lt;=1,"Match","Mismatch"))</x:f>
        <x:v>Match</x:v>
      </x:c>
      <x:c r="AE239" t="str">
        <x:f>IF(OR(AC239="Open",AD239="Open"),"Open",IF(AND(AC239="Match",AD239="Match",W239=T239),"Matched","Exception"))</x:f>
        <x:v>Matched</x:v>
      </x:c>
      <x:c r="AF239" s="40" t="n">
        <x:f>MAX(L239-T239,0)</x:f>
        <x:v>0</x:v>
      </x:c>
    </x:row>
    <x:row r="240">
      <x:c r="A240" t="str">
        <x:v>PR100239</x:v>
      </x:c>
      <x:c r="B240" s="36" t="n">
        <x:v>46162</x:v>
      </x:c>
      <x:c r="C240" t="str">
        <x:v>Civil Projects</x:v>
      </x:c>
      <x:c r="D240" t="str">
        <x:v>PRJ-008</x:v>
      </x:c>
      <x:c r="E240" t="str">
        <x:v>MAT016</x:v>
      </x:c>
      <x:c r="F240" t="str">
        <x:v>MCB 32A</x:v>
      </x:c>
      <x:c r="G240" t="str">
        <x:v>Electrical</x:v>
      </x:c>
      <x:c r="H240" t="str">
        <x:v>EA</x:v>
      </x:c>
      <x:c r="I240" t="str">
        <x:v>SUP004</x:v>
      </x:c>
      <x:c r="J240" t="str">
        <x:v>Southline Electricals</x:v>
      </x:c>
      <x:c r="K240" t="str">
        <x:v>Telangana</x:v>
      </x:c>
      <x:c r="L240" s="40" t="n">
        <x:v>30</x:v>
      </x:c>
      <x:c r="M240" t="str">
        <x:v>PO200239</x:v>
      </x:c>
      <x:c r="N240" s="36" t="n">
        <x:v>46163</x:v>
      </x:c>
      <x:c r="O240" s="38" t="n">
        <x:v>556.68</x:v>
      </x:c>
      <x:c r="P240" t="str">
        <x:v>45 Days</x:v>
      </x:c>
      <x:c r="Q240" t="str">
        <x:v>M. Priya</x:v>
      </x:c>
      <x:c r="R240" s="36" t="n">
        <x:v>46170</x:v>
      </x:c>
      <x:c r="S240" s="36" t="n">
        <x:v>46170</x:v>
      </x:c>
      <x:c r="T240" s="40" t="n">
        <x:v>30</x:v>
      </x:c>
      <x:c r="U240" t="str">
        <x:v>INV300239</x:v>
      </x:c>
      <x:c r="V240" s="36" t="n">
        <x:v>46176</x:v>
      </x:c>
      <x:c r="W240" s="40" t="n">
        <x:v>30</x:v>
      </x:c>
      <x:c r="X240" s="38" t="n">
        <x:v>16700.4</x:v>
      </x:c>
      <x:c r="Y240" t="str">
        <x:v>Paid</x:v>
      </x:c>
      <x:c r="Z240" s="38" t="n">
        <x:f>ROUND(L240*O240,2)</x:f>
        <x:v>16700.4</x:v>
      </x:c>
      <x:c r="AA240" t="n">
        <x:f>IF(S240="","",S240-N240)</x:f>
        <x:v>7</x:v>
      </x:c>
      <x:c r="AB240" t="str">
        <x:f>IF(S240="","Open",IF(S240&lt;=R240,"On Time","Late"))</x:f>
        <x:v>On Time</x:v>
      </x:c>
      <x:c r="AC240" t="str">
        <x:f>IF(S240="","Open",IF(T240=L240,"Match","Mismatch"))</x:f>
        <x:v>Match</x:v>
      </x:c>
      <x:c r="AD240" t="str">
        <x:f>IF(V240="","Open",IF(ABS(X240-Z240)&lt;=1,"Match","Mismatch"))</x:f>
        <x:v>Match</x:v>
      </x:c>
      <x:c r="AE240" t="str">
        <x:f>IF(OR(AC240="Open",AD240="Open"),"Open",IF(AND(AC240="Match",AD240="Match",W240=T240),"Matched","Exception"))</x:f>
        <x:v>Matched</x:v>
      </x:c>
      <x:c r="AF240" s="40" t="n">
        <x:f>MAX(L240-T240,0)</x:f>
        <x:v>0</x:v>
      </x:c>
    </x:row>
    <x:row r="241">
      <x:c r="A241" t="str">
        <x:v>PR100240</x:v>
      </x:c>
      <x:c r="B241" s="36" t="n">
        <x:v>46278</x:v>
      </x:c>
      <x:c r="C241" t="str">
        <x:v>Facilities</x:v>
      </x:c>
      <x:c r="D241" t="str">
        <x:v>PRJ-008</x:v>
      </x:c>
      <x:c r="E241" t="str">
        <x:v>MAT032</x:v>
      </x:c>
      <x:c r="F241" t="str">
        <x:v>Printer Toner</x:v>
      </x:c>
      <x:c r="G241" t="str">
        <x:v>Office Supplies</x:v>
      </x:c>
      <x:c r="H241" t="str">
        <x:v>EA</x:v>
      </x:c>
      <x:c r="I241" t="str">
        <x:v>SUP008</x:v>
      </x:c>
      <x:c r="J241" t="str">
        <x:v>Prime Office Solutions</x:v>
      </x:c>
      <x:c r="K241" t="str">
        <x:v>Telangana</x:v>
      </x:c>
      <x:c r="L241" s="40" t="n">
        <x:v>75</x:v>
      </x:c>
      <x:c r="M241" t="str">
        <x:v>PO200240</x:v>
      </x:c>
      <x:c r="N241" s="36" t="n">
        <x:v>46281</x:v>
      </x:c>
      <x:c r="O241" s="38" t="n">
        <x:v>4463.89</x:v>
      </x:c>
      <x:c r="P241" t="str">
        <x:v>30 Days</x:v>
      </x:c>
      <x:c r="Q241" t="str">
        <x:v>R. Sharma</x:v>
      </x:c>
      <x:c r="R241" s="36" t="n">
        <x:v>46289</x:v>
      </x:c>
      <x:c r="S241" s="36" t="n">
        <x:v>46296</x:v>
      </x:c>
      <x:c r="T241" s="40" t="n">
        <x:v>75</x:v>
      </x:c>
      <x:c r="U241" t="str">
        <x:v>INV300240</x:v>
      </x:c>
      <x:c r="V241" s="36" t="n">
        <x:v>46301</x:v>
      </x:c>
      <x:c r="W241" s="40" t="n">
        <x:v>73</x:v>
      </x:c>
      <x:c r="X241" s="38" t="n">
        <x:v>334791.75</x:v>
      </x:c>
      <x:c r="Y241" t="str">
        <x:v>Paid</x:v>
      </x:c>
      <x:c r="Z241" s="38" t="n">
        <x:f>ROUND(L241*O241,2)</x:f>
        <x:v>334791.75</x:v>
      </x:c>
      <x:c r="AA241" t="n">
        <x:f>IF(S241="","",S241-N241)</x:f>
        <x:v>15</x:v>
      </x:c>
      <x:c r="AB241" t="str">
        <x:f>IF(S241="","Open",IF(S241&lt;=R241,"On Time","Late"))</x:f>
        <x:v>Late</x:v>
      </x:c>
      <x:c r="AC241" t="str">
        <x:f>IF(S241="","Open",IF(T241=L241,"Match","Mismatch"))</x:f>
        <x:v>Match</x:v>
      </x:c>
      <x:c r="AD241" t="str">
        <x:f>IF(V241="","Open",IF(ABS(X241-Z241)&lt;=1,"Match","Mismatch"))</x:f>
        <x:v>Match</x:v>
      </x:c>
      <x:c r="AE241" t="str">
        <x:f>IF(OR(AC241="Open",AD241="Open"),"Open",IF(AND(AC241="Match",AD241="Match",W241=T241),"Matched","Exception"))</x:f>
        <x:v>Exception</x:v>
      </x:c>
      <x:c r="AF241" s="40" t="n">
        <x:f>MAX(L241-T241,0)</x:f>
        <x:v>0</x:v>
      </x:c>
    </x:row>
  </x:sheetData>
  <x:conditionalFormatting sqref="AB2:AB241">
    <x:cfRule type="expression" dxfId="0" priority="1">
      <x:formula>AB2="Late"</x:formula>
    </x:cfRule>
  </x:conditionalFormatting>
  <x:conditionalFormatting sqref="AE2:AE241">
    <x:cfRule type="expression" dxfId="1" priority="2">
      <x:formula>AE2="Exception"</x:formula>
    </x:cfRule>
    <x:cfRule type="expression" dxfId="2" priority="3">
      <x:formula>AE2="Matched"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31182f640941b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1" hidden="0" customWidth="1"/>
    <x:col min="5" max="5" width="18" hidden="0" customWidth="1"/>
    <x:col min="6" max="6" width="14" hidden="0" customWidth="1"/>
    <x:col min="7" max="7" width="18" hidden="0" customWidth="1"/>
    <x:col min="8" max="8" width="34" hidden="0" customWidth="1"/>
  </x:cols>
  <x:sheetData>
    <x:row r="1">
      <x:c r="A1" s="30" t="str">
        <x:v>Material_ID</x:v>
      </x:c>
      <x:c r="B1" s="30" t="str">
        <x:v>Material_Description</x:v>
      </x:c>
      <x:c r="C1" s="30" t="str">
        <x:v>Material_Group</x:v>
      </x:c>
      <x:c r="D1" s="30" t="str">
        <x:v>Base_UOM</x:v>
      </x:c>
      <x:c r="E1" s="30" t="str">
        <x:v>Standard_Price_INR</x:v>
      </x:c>
      <x:c r="F1" s="30" t="str">
        <x:v>Reorder_Level</x:v>
      </x:c>
      <x:c r="G1" s="30" t="str">
        <x:v>Data_Quality_Status</x:v>
      </x:c>
      <x:c r="H1" s="30" t="str">
        <x:v>Data_Quality_Note</x:v>
      </x:c>
    </x:row>
    <x:row r="2">
      <x:c r="A2" t="str">
        <x:v>MAT001</x:v>
      </x:c>
      <x:c r="B2" t="str">
        <x:v>OPC Cement 50kg</x:v>
      </x:c>
      <x:c r="C2" t="str">
        <x:v>Cement &amp; Concrete</x:v>
      </x:c>
      <x:c r="D2" t="str">
        <x:v>BAG</x:v>
      </x:c>
      <x:c r="E2" s="38" t="n">
        <x:v>365</x:v>
      </x:c>
      <x:c r="F2" t="n">
        <x:v>25</x:v>
      </x:c>
      <x:c r="G2" t="str">
        <x:v>OK</x:v>
      </x:c>
      <x:c r="H2" t="str"/>
    </x:row>
    <x:row r="3">
      <x:c r="A3" t="str">
        <x:v>MAT002</x:v>
      </x:c>
      <x:c r="B3" t="str">
        <x:v>PPC Cement 50kg</x:v>
      </x:c>
      <x:c r="C3" t="str">
        <x:v>Cement &amp; Concrete</x:v>
      </x:c>
      <x:c r="D3" t="str">
        <x:v>BAG</x:v>
      </x:c>
      <x:c r="E3" s="38" t="n">
        <x:v>350</x:v>
      </x:c>
      <x:c r="F3" t="n">
        <x:v>200</x:v>
      </x:c>
      <x:c r="G3" t="str">
        <x:v>OK</x:v>
      </x:c>
      <x:c r="H3" t="str"/>
    </x:row>
    <x:row r="4">
      <x:c r="A4" t="str">
        <x:v>MAT003</x:v>
      </x:c>
      <x:c r="B4" t="str">
        <x:v>Ready Mix Concrete M25</x:v>
      </x:c>
      <x:c r="C4" t="str">
        <x:v>Cement &amp; Concrete</x:v>
      </x:c>
      <x:c r="D4" t="str">
        <x:v>M3</x:v>
      </x:c>
      <x:c r="E4" s="38" t="n">
        <x:v>5200</x:v>
      </x:c>
      <x:c r="F4" t="n">
        <x:v>10</x:v>
      </x:c>
      <x:c r="G4" t="str">
        <x:v>OK</x:v>
      </x:c>
      <x:c r="H4" t="str"/>
    </x:row>
    <x:row r="5">
      <x:c r="A5" t="str">
        <x:v>MAT004</x:v>
      </x:c>
      <x:c r="B5" t="str">
        <x:v>TMT Steel Fe500 12mm</x:v>
      </x:c>
      <x:c r="C5" t="str">
        <x:v>Steel</x:v>
      </x:c>
      <x:c r="D5" t="str">
        <x:v>KG</x:v>
      </x:c>
      <x:c r="E5" s="38" t="n">
        <x:v>62</x:v>
      </x:c>
      <x:c r="F5" t="n">
        <x:v>10</x:v>
      </x:c>
      <x:c r="G5" t="str">
        <x:v>OK</x:v>
      </x:c>
      <x:c r="H5" t="str"/>
    </x:row>
    <x:row r="6">
      <x:c r="A6" t="str">
        <x:v>MAT005</x:v>
      </x:c>
      <x:c r="B6" t="str">
        <x:v>TMT Steel Fe500 16mm</x:v>
      </x:c>
      <x:c r="C6" t="str">
        <x:v>Steel</x:v>
      </x:c>
      <x:c r="D6" t="str">
        <x:v>KG</x:v>
      </x:c>
      <x:c r="E6" s="38" t="n">
        <x:v>63</x:v>
      </x:c>
      <x:c r="F6" t="n">
        <x:v>200</x:v>
      </x:c>
      <x:c r="G6" t="str">
        <x:v>OK</x:v>
      </x:c>
      <x:c r="H6" t="str"/>
    </x:row>
    <x:row r="7">
      <x:c r="A7" t="str">
        <x:v>MAT006</x:v>
      </x:c>
      <x:c r="B7" t="str">
        <x:v>Structural Steel Angle</x:v>
      </x:c>
      <x:c r="C7" t="str">
        <x:v>Steel</x:v>
      </x:c>
      <x:c r="D7" t="str">
        <x:v>KG</x:v>
      </x:c>
      <x:c r="E7" s="38" t="n">
        <x:v>78</x:v>
      </x:c>
      <x:c r="F7" t="n">
        <x:v>20</x:v>
      </x:c>
      <x:c r="G7" t="str">
        <x:v>OK</x:v>
      </x:c>
      <x:c r="H7" t="str"/>
    </x:row>
    <x:row r="8">
      <x:c r="A8" t="str">
        <x:v>MAT007</x:v>
      </x:c>
      <x:c r="B8" t="str">
        <x:v>River Sand</x:v>
      </x:c>
      <x:c r="C8" t="str">
        <x:v>Aggregates</x:v>
      </x:c>
      <x:c r="D8" t="str">
        <x:v>TON</x:v>
      </x:c>
      <x:c r="E8" s="38" t="n">
        <x:v>1450</x:v>
      </x:c>
      <x:c r="F8" t="n">
        <x:v>50</x:v>
      </x:c>
      <x:c r="G8" t="str">
        <x:v>Review</x:v>
      </x:c>
      <x:c r="H8" t="str">
        <x:v>Reorder level requires confirmation</x:v>
      </x:c>
    </x:row>
    <x:row r="9">
      <x:c r="A9" t="str">
        <x:v>MAT008</x:v>
      </x:c>
      <x:c r="B9" t="str">
        <x:v>20mm Aggregate</x:v>
      </x:c>
      <x:c r="C9" t="str">
        <x:v>Aggregates</x:v>
      </x:c>
      <x:c r="D9" t="str">
        <x:v>TON</x:v>
      </x:c>
      <x:c r="E9" s="38" t="n">
        <x:v>1250</x:v>
      </x:c>
      <x:c r="F9" t="n">
        <x:v>100</x:v>
      </x:c>
      <x:c r="G9" t="str">
        <x:v>OK</x:v>
      </x:c>
      <x:c r="H9" t="str"/>
    </x:row>
    <x:row r="10">
      <x:c r="A10" t="str">
        <x:v>MAT009</x:v>
      </x:c>
      <x:c r="B10" t="str">
        <x:v>40mm Aggregate</x:v>
      </x:c>
      <x:c r="C10" t="str">
        <x:v>Aggregates</x:v>
      </x:c>
      <x:c r="D10" t="str">
        <x:v>TON</x:v>
      </x:c>
      <x:c r="E10" s="38" t="n">
        <x:v>1180</x:v>
      </x:c>
      <x:c r="F10" t="n">
        <x:v>10</x:v>
      </x:c>
      <x:c r="G10" t="str">
        <x:v>OK</x:v>
      </x:c>
      <x:c r="H10" t="str"/>
    </x:row>
    <x:row r="11">
      <x:c r="A11" t="str">
        <x:v>MAT010</x:v>
      </x:c>
      <x:c r="B11" t="str">
        <x:v>AAC Block 600x200x200</x:v>
      </x:c>
      <x:c r="C11" t="str">
        <x:v>Masonry</x:v>
      </x:c>
      <x:c r="D11" t="str">
        <x:v>EA</x:v>
      </x:c>
      <x:c r="E11" s="38" t="n">
        <x:v>92</x:v>
      </x:c>
      <x:c r="F11" t="n">
        <x:v>25</x:v>
      </x:c>
      <x:c r="G11" t="str">
        <x:v>OK</x:v>
      </x:c>
      <x:c r="H11" t="str"/>
    </x:row>
    <x:row r="12">
      <x:c r="A12" t="str">
        <x:v>MAT011</x:v>
      </x:c>
      <x:c r="B12" t="str">
        <x:v>Red Clay Brick</x:v>
      </x:c>
      <x:c r="C12" t="str">
        <x:v>Masonry</x:v>
      </x:c>
      <x:c r="D12" t="str">
        <x:v>EA</x:v>
      </x:c>
      <x:c r="E12" s="38" t="n">
        <x:v>11</x:v>
      </x:c>
      <x:c r="F12" t="n">
        <x:v>25</x:v>
      </x:c>
      <x:c r="G12" t="str">
        <x:v>OK</x:v>
      </x:c>
      <x:c r="H12" t="str"/>
    </x:row>
    <x:row r="13">
      <x:c r="A13" t="str">
        <x:v>MAT012</x:v>
      </x:c>
      <x:c r="B13" t="str">
        <x:v>PVC Pipe 110mm</x:v>
      </x:c>
      <x:c r="C13" t="str">
        <x:v>Plumbing</x:v>
      </x:c>
      <x:c r="D13" t="str">
        <x:v>M</x:v>
      </x:c>
      <x:c r="E13" s="38" t="n">
        <x:v>310</x:v>
      </x:c>
      <x:c r="F13" t="n">
        <x:v>100</x:v>
      </x:c>
      <x:c r="G13" t="str">
        <x:v>OK</x:v>
      </x:c>
      <x:c r="H13" t="str"/>
    </x:row>
    <x:row r="14">
      <x:c r="A14" t="str">
        <x:v>MAT013</x:v>
      </x:c>
      <x:c r="B14" t="str">
        <x:v>CPVC Pipe 25mm</x:v>
      </x:c>
      <x:c r="C14" t="str">
        <x:v>Plumbing</x:v>
      </x:c>
      <x:c r="D14" t="str">
        <x:v>M</x:v>
      </x:c>
      <x:c r="E14" s="38" t="n">
        <x:v>165</x:v>
      </x:c>
      <x:c r="F14" t="n">
        <x:v>25</x:v>
      </x:c>
      <x:c r="G14" t="str">
        <x:v>OK</x:v>
      </x:c>
      <x:c r="H14" t="str"/>
    </x:row>
    <x:row r="15">
      <x:c r="A15" t="str">
        <x:v>MAT014</x:v>
      </x:c>
      <x:c r="B15" t="str">
        <x:v>GI Pipe 50mm</x:v>
      </x:c>
      <x:c r="C15" t="str">
        <x:v>Plumbing</x:v>
      </x:c>
      <x:c r="D15" t="str">
        <x:v>M</x:v>
      </x:c>
      <x:c r="E15" s="38" t="n">
        <x:v>540</x:v>
      </x:c>
      <x:c r="F15" t="n">
        <x:v>20</x:v>
      </x:c>
      <x:c r="G15" t="str">
        <x:v>OK</x:v>
      </x:c>
      <x:c r="H15" t="str"/>
    </x:row>
    <x:row r="16">
      <x:c r="A16" t="str">
        <x:v>MAT015</x:v>
      </x:c>
      <x:c r="B16" t="str">
        <x:v>Copper Cable 4 sqmm</x:v>
      </x:c>
      <x:c r="C16" t="str">
        <x:v>Electrical</x:v>
      </x:c>
      <x:c r="D16" t="str">
        <x:v>M</x:v>
      </x:c>
      <x:c r="E16" s="38" t="n">
        <x:v>72</x:v>
      </x:c>
      <x:c r="F16" t="n">
        <x:v>100</x:v>
      </x:c>
      <x:c r="G16" t="str">
        <x:v>OK</x:v>
      </x:c>
      <x:c r="H16" t="str"/>
    </x:row>
    <x:row r="17">
      <x:c r="A17" t="str">
        <x:v>MAT016</x:v>
      </x:c>
      <x:c r="B17" t="str">
        <x:v>MCB 32A</x:v>
      </x:c>
      <x:c r="C17" t="str">
        <x:v>Electrical</x:v>
      </x:c>
      <x:c r="D17" t="str">
        <x:v>EA</x:v>
      </x:c>
      <x:c r="E17" s="38" t="n">
        <x:v>520</x:v>
      </x:c>
      <x:c r="F17" t="n">
        <x:v>25</x:v>
      </x:c>
      <x:c r="G17" t="str">
        <x:v>OK</x:v>
      </x:c>
      <x:c r="H17" t="str"/>
    </x:row>
    <x:row r="18">
      <x:c r="A18" t="str">
        <x:v>MAT017</x:v>
      </x:c>
      <x:c r="B18" t="str">
        <x:v>LED Flood Light 100W</x:v>
      </x:c>
      <x:c r="C18" t="str">
        <x:v>Electrical</x:v>
      </x:c>
      <x:c r="D18" t="str">
        <x:v>EA</x:v>
      </x:c>
      <x:c r="E18" s="38" t="n">
        <x:v>2850</x:v>
      </x:c>
      <x:c r="F18" t="n">
        <x:v>20</x:v>
      </x:c>
      <x:c r="G18" t="str">
        <x:v>OK</x:v>
      </x:c>
      <x:c r="H18" t="str"/>
    </x:row>
    <x:row r="19">
      <x:c r="A19" t="str">
        <x:v>MAT018</x:v>
      </x:c>
      <x:c r="B19" t="str">
        <x:v>Safety Helmet</x:v>
      </x:c>
      <x:c r="C19" t="str">
        <x:v>Safety</x:v>
      </x:c>
      <x:c r="D19" t="str">
        <x:v>EA</x:v>
      </x:c>
      <x:c r="E19" s="38" t="n">
        <x:v>390</x:v>
      </x:c>
      <x:c r="F19" t="n">
        <x:v>25</x:v>
      </x:c>
      <x:c r="G19" t="str">
        <x:v>Review</x:v>
      </x:c>
      <x:c r="H19" t="str">
        <x:v>Reorder level requires confirmation</x:v>
      </x:c>
    </x:row>
    <x:row r="20">
      <x:c r="A20" t="str">
        <x:v>MAT019</x:v>
      </x:c>
      <x:c r="B20" t="str">
        <x:v>Reflective Safety Vest</x:v>
      </x:c>
      <x:c r="C20" t="str">
        <x:v>Safety</x:v>
      </x:c>
      <x:c r="D20" t="str">
        <x:v>EA</x:v>
      </x:c>
      <x:c r="E20" s="38" t="n">
        <x:v>260</x:v>
      </x:c>
      <x:c r="F20" t="n">
        <x:v>50</x:v>
      </x:c>
      <x:c r="G20" t="str">
        <x:v>OK</x:v>
      </x:c>
      <x:c r="H20" t="str"/>
    </x:row>
    <x:row r="21">
      <x:c r="A21" t="str">
        <x:v>MAT020</x:v>
      </x:c>
      <x:c r="B21" t="str">
        <x:v>Safety Shoes</x:v>
      </x:c>
      <x:c r="C21" t="str">
        <x:v>Safety</x:v>
      </x:c>
      <x:c r="D21" t="str">
        <x:v>PAIR</x:v>
      </x:c>
      <x:c r="E21" s="38" t="n">
        <x:v>1450</x:v>
      </x:c>
      <x:c r="F21" t="n">
        <x:v>100</x:v>
      </x:c>
      <x:c r="G21" t="str">
        <x:v>OK</x:v>
      </x:c>
      <x:c r="H21" t="str"/>
    </x:row>
    <x:row r="22">
      <x:c r="A22" t="str">
        <x:v>MAT021</x:v>
      </x:c>
      <x:c r="B22" t="str">
        <x:v>Angle Grinder 100mm</x:v>
      </x:c>
      <x:c r="C22" t="str">
        <x:v>Tools</x:v>
      </x:c>
      <x:c r="D22" t="str">
        <x:v>EA</x:v>
      </x:c>
      <x:c r="E22" s="38" t="n">
        <x:v>3250</x:v>
      </x:c>
      <x:c r="F22" t="n">
        <x:v>25</x:v>
      </x:c>
      <x:c r="G22" t="str">
        <x:v>OK</x:v>
      </x:c>
      <x:c r="H22" t="str"/>
    </x:row>
    <x:row r="23">
      <x:c r="A23" t="str">
        <x:v>MAT022</x:v>
      </x:c>
      <x:c r="B23" t="str">
        <x:v>Hammer Drill</x:v>
      </x:c>
      <x:c r="C23" t="str">
        <x:v>Tools</x:v>
      </x:c>
      <x:c r="D23" t="str">
        <x:v>EA</x:v>
      </x:c>
      <x:c r="E23" s="38" t="n">
        <x:v>6800</x:v>
      </x:c>
      <x:c r="F23" t="n">
        <x:v>25</x:v>
      </x:c>
      <x:c r="G23" t="str">
        <x:v>OK</x:v>
      </x:c>
      <x:c r="H23" t="str"/>
    </x:row>
    <x:row r="24">
      <x:c r="A24" t="str">
        <x:v>MAT023</x:v>
      </x:c>
      <x:c r="B24" t="str">
        <x:v>Measuring Tape 5m</x:v>
      </x:c>
      <x:c r="C24" t="str">
        <x:v>Tools</x:v>
      </x:c>
      <x:c r="D24" t="str">
        <x:v>EA</x:v>
      </x:c>
      <x:c r="E24" s="38" t="n">
        <x:v>320</x:v>
      </x:c>
      <x:c r="F24" t="n">
        <x:v>20</x:v>
      </x:c>
      <x:c r="G24" t="str">
        <x:v>OK</x:v>
      </x:c>
      <x:c r="H24" t="str"/>
    </x:row>
    <x:row r="25">
      <x:c r="A25" t="str">
        <x:v>MAT024</x:v>
      </x:c>
      <x:c r="B25" t="str">
        <x:v>Binding Wire</x:v>
      </x:c>
      <x:c r="C25" t="str">
        <x:v>Steel</x:v>
      </x:c>
      <x:c r="D25" t="str">
        <x:v>KG</x:v>
      </x:c>
      <x:c r="E25" s="38" t="n">
        <x:v>82</x:v>
      </x:c>
      <x:c r="F25" t="n">
        <x:v>50</x:v>
      </x:c>
      <x:c r="G25" t="str">
        <x:v>OK</x:v>
      </x:c>
      <x:c r="H25" t="str"/>
    </x:row>
    <x:row r="26">
      <x:c r="A26" t="str">
        <x:v>MAT025</x:v>
      </x:c>
      <x:c r="B26" t="str">
        <x:v>Shuttering Plywood 12mm</x:v>
      </x:c>
      <x:c r="C26" t="str">
        <x:v>Formwork</x:v>
      </x:c>
      <x:c r="D26" t="str">
        <x:v>SHEET</x:v>
      </x:c>
      <x:c r="E26" s="38" t="n">
        <x:v>1320</x:v>
      </x:c>
      <x:c r="F26" t="n">
        <x:v>50</x:v>
      </x:c>
      <x:c r="G26" t="str">
        <x:v>OK</x:v>
      </x:c>
      <x:c r="H26" t="str"/>
    </x:row>
    <x:row r="27">
      <x:c r="A27" t="str">
        <x:v>MAT026</x:v>
      </x:c>
      <x:c r="B27" t="str">
        <x:v>MS Scaffolding Pipe</x:v>
      </x:c>
      <x:c r="C27" t="str">
        <x:v>Formwork</x:v>
      </x:c>
      <x:c r="D27" t="str">
        <x:v>M</x:v>
      </x:c>
      <x:c r="E27" s="38" t="n">
        <x:v>610</x:v>
      </x:c>
      <x:c r="F27" t="n">
        <x:v>20</x:v>
      </x:c>
      <x:c r="G27" t="str">
        <x:v>OK</x:v>
      </x:c>
      <x:c r="H27" t="str"/>
    </x:row>
    <x:row r="28">
      <x:c r="A28" t="str">
        <x:v>MAT027</x:v>
      </x:c>
      <x:c r="B28" t="str">
        <x:v>Wall Putty 20kg</x:v>
      </x:c>
      <x:c r="C28" t="str">
        <x:v>Finishes</x:v>
      </x:c>
      <x:c r="D28" t="str">
        <x:v>BAG</x:v>
      </x:c>
      <x:c r="E28" s="38" t="n">
        <x:v>780</x:v>
      </x:c>
      <x:c r="F28" t="n">
        <x:v>50</x:v>
      </x:c>
      <x:c r="G28" t="str">
        <x:v>OK</x:v>
      </x:c>
      <x:c r="H28" t="str"/>
    </x:row>
    <x:row r="29">
      <x:c r="A29" t="str">
        <x:v>MAT028</x:v>
      </x:c>
      <x:c r="B29" t="str">
        <x:v>Exterior Paint 20L</x:v>
      </x:c>
      <x:c r="C29" t="str">
        <x:v>Finishes</x:v>
      </x:c>
      <x:c r="D29" t="str">
        <x:v>CAN</x:v>
      </x:c>
      <x:c r="E29" s="38" t="n">
        <x:v>3950</x:v>
      </x:c>
      <x:c r="F29" t="n">
        <x:v>200</x:v>
      </x:c>
      <x:c r="G29" t="str">
        <x:v>OK</x:v>
      </x:c>
      <x:c r="H29" t="str"/>
    </x:row>
    <x:row r="30">
      <x:c r="A30" t="str">
        <x:v>MAT029</x:v>
      </x:c>
      <x:c r="B30" t="str">
        <x:v>Ceramic Floor Tile</x:v>
      </x:c>
      <x:c r="C30" t="str">
        <x:v>Finishes</x:v>
      </x:c>
      <x:c r="D30" t="str">
        <x:v>SQM</x:v>
      </x:c>
      <x:c r="E30" s="38" t="n">
        <x:v>680</x:v>
      </x:c>
      <x:c r="F30" t="n">
        <x:v>25</x:v>
      </x:c>
      <x:c r="G30" t="str">
        <x:v>OK</x:v>
      </x:c>
      <x:c r="H30" t="str"/>
    </x:row>
    <x:row r="31">
      <x:c r="A31" t="str">
        <x:v>MAT030</x:v>
      </x:c>
      <x:c r="B31" t="str">
        <x:v>Waterproofing Compound 20L</x:v>
      </x:c>
      <x:c r="C31" t="str">
        <x:v>Finishes</x:v>
      </x:c>
      <x:c r="D31" t="str">
        <x:v>CAN</x:v>
      </x:c>
      <x:c r="E31" s="38" t="n">
        <x:v>2450</x:v>
      </x:c>
      <x:c r="F31" t="n">
        <x:v>25</x:v>
      </x:c>
      <x:c r="G31" t="str">
        <x:v>OK</x:v>
      </x:c>
      <x:c r="H31" t="str"/>
    </x:row>
    <x:row r="32">
      <x:c r="A32" t="str">
        <x:v>MAT031</x:v>
      </x:c>
      <x:c r="B32" t="str">
        <x:v>Office Paper A4</x:v>
      </x:c>
      <x:c r="C32" t="str">
        <x:v>Office Supplies</x:v>
      </x:c>
      <x:c r="D32" t="str">
        <x:v>REAM</x:v>
      </x:c>
      <x:c r="E32" s="38" t="n">
        <x:v>320</x:v>
      </x:c>
      <x:c r="F32" t="n">
        <x:v>50</x:v>
      </x:c>
      <x:c r="G32" t="str">
        <x:v>OK</x:v>
      </x:c>
      <x:c r="H32" t="str"/>
    </x:row>
    <x:row r="33">
      <x:c r="A33" t="str">
        <x:v>MAT032</x:v>
      </x:c>
      <x:c r="B33" t="str">
        <x:v>Printer Toner</x:v>
      </x:c>
      <x:c r="C33" t="str">
        <x:v>Office Supplies</x:v>
      </x:c>
      <x:c r="D33" t="str">
        <x:v>EA</x:v>
      </x:c>
      <x:c r="E33" s="38" t="n">
        <x:v>4650</x:v>
      </x:c>
      <x:c r="F33" t="n">
        <x:v>25</x:v>
      </x:c>
      <x:c r="G33" t="str">
        <x:v>OK</x:v>
      </x:c>
      <x:c r="H33" t="str"/>
    </x:row>
    <x:row r="34">
      <x:c r="A34" t="str">
        <x:v>MAT033</x:v>
      </x:c>
      <x:c r="B34" t="str">
        <x:v>Barcode Labels</x:v>
      </x:c>
      <x:c r="C34" t="str">
        <x:v>Office Supplies</x:v>
      </x:c>
      <x:c r="D34" t="str">
        <x:v>PACK</x:v>
      </x:c>
      <x:c r="E34" s="38" t="n">
        <x:v>650</x:v>
      </x:c>
      <x:c r="F34" t="n">
        <x:v>50</x:v>
      </x:c>
      <x:c r="G34" t="str">
        <x:v>Review</x:v>
      </x:c>
      <x:c r="H34" t="str">
        <x:v>Description should be standardized</x:v>
      </x:c>
    </x:row>
    <x:row r="35">
      <x:c r="A35" t="str">
        <x:v>MAT034</x:v>
      </x:c>
      <x:c r="B35" t="str">
        <x:v>Industrial Adhesive</x:v>
      </x:c>
      <x:c r="C35" t="str">
        <x:v>Consumables</x:v>
      </x:c>
      <x:c r="D35" t="str">
        <x:v>KG</x:v>
      </x:c>
      <x:c r="E35" s="38" t="n">
        <x:v>420</x:v>
      </x:c>
      <x:c r="F35" t="n">
        <x:v>20</x:v>
      </x:c>
      <x:c r="G35" t="str">
        <x:v>OK</x:v>
      </x:c>
      <x:c r="H35" t="str"/>
    </x:row>
    <x:row r="36">
      <x:c r="A36" t="str">
        <x:v>MAT035</x:v>
      </x:c>
      <x:c r="B36" t="str">
        <x:v>Welding Electrode</x:v>
      </x:c>
      <x:c r="C36" t="str">
        <x:v>Consumables</x:v>
      </x:c>
      <x:c r="D36" t="str">
        <x:v>KG</x:v>
      </x:c>
      <x:c r="E36" s="38" t="n">
        <x:v>290</x:v>
      </x:c>
      <x:c r="F36" t="n">
        <x:v>100</x:v>
      </x:c>
      <x:c r="G36" t="str">
        <x:v>OK</x:v>
      </x:c>
      <x:c r="H36" t="str"/>
    </x:row>
    <x:row r="37">
      <x:c r="A37" t="str">
        <x:v>MAT036</x:v>
      </x:c>
      <x:c r="B37" t="str">
        <x:v>Cutting Disc 4 inch</x:v>
      </x:c>
      <x:c r="C37" t="str">
        <x:v>Consumables</x:v>
      </x:c>
      <x:c r="D37" t="str">
        <x:v>EA</x:v>
      </x:c>
      <x:c r="E37" s="38" t="n">
        <x:v>48</x:v>
      </x:c>
      <x:c r="F37" t="n">
        <x:v>20</x:v>
      </x:c>
      <x:c r="G37" t="str">
        <x:v>OK</x:v>
      </x:c>
      <x:c r="H37" t="str"/>
    </x:row>
    <x:row r="38">
      <x:c r="A38" t="str">
        <x:v>MAT037</x:v>
      </x:c>
      <x:c r="B38" t="str">
        <x:v>Anchor Bolt M16</x:v>
      </x:c>
      <x:c r="C38" t="str">
        <x:v>Hardware</x:v>
      </x:c>
      <x:c r="D38" t="str">
        <x:v>EA</x:v>
      </x:c>
      <x:c r="E38" s="38" t="n">
        <x:v>95</x:v>
      </x:c>
      <x:c r="F38" t="n">
        <x:v>100</x:v>
      </x:c>
      <x:c r="G38" t="str">
        <x:v>OK</x:v>
      </x:c>
      <x:c r="H38" t="str"/>
    </x:row>
    <x:row r="39">
      <x:c r="A39" t="str">
        <x:v>MAT038</x:v>
      </x:c>
      <x:c r="B39" t="str">
        <x:v>Hex Bolt M12</x:v>
      </x:c>
      <x:c r="C39" t="str">
        <x:v>Hardware</x:v>
      </x:c>
      <x:c r="D39" t="str">
        <x:v>EA</x:v>
      </x:c>
      <x:c r="E39" s="38" t="n">
        <x:v>22</x:v>
      </x:c>
      <x:c r="F39" t="n">
        <x:v>200</x:v>
      </x:c>
      <x:c r="G39" t="str">
        <x:v>OK</x:v>
      </x:c>
      <x:c r="H39" t="str"/>
    </x:row>
    <x:row r="40">
      <x:c r="A40" t="str">
        <x:v>MAT039</x:v>
      </x:c>
      <x:c r="B40" t="str">
        <x:v>Door Hinge SS</x:v>
      </x:c>
      <x:c r="C40" t="str">
        <x:v>Hardware</x:v>
      </x:c>
      <x:c r="D40" t="str">
        <x:v>PAIR</x:v>
      </x:c>
      <x:c r="E40" s="38" t="n">
        <x:v>380</x:v>
      </x:c>
      <x:c r="F40" t="n">
        <x:v>20</x:v>
      </x:c>
      <x:c r="G40" t="str">
        <x:v>OK</x:v>
      </x:c>
      <x:c r="H40" t="str"/>
    </x:row>
    <x:row r="41">
      <x:c r="A41" t="str">
        <x:v>MAT040</x:v>
      </x:c>
      <x:c r="B41" t="str">
        <x:v>SS Fastener Set</x:v>
      </x:c>
      <x:c r="C41" t="str">
        <x:v>Hardware</x:v>
      </x:c>
      <x:c r="D41" t="str">
        <x:v>SET</x:v>
      </x:c>
      <x:c r="E41" s="38" t="n">
        <x:v>125</x:v>
      </x:c>
      <x:c r="F41" t="n">
        <x:v>10</x:v>
      </x:c>
      <x:c r="G41" t="str">
        <x:v>OK</x:v>
      </x:c>
      <x:c r="H41" t="str"/>
    </x:row>
  </x:sheetData>
  <x:conditionalFormatting sqref="G2:G41">
    <x:cfRule type="expression" dxfId="3" priority="1">
      <x:formula>G2="Review"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5d1d24503a44f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40" hidden="0" customWidth="1"/>
    <x:col min="5" max="5" width="18" hidden="0" customWidth="1"/>
  </x:cols>
  <x:sheetData>
    <x:row r="1">
      <x:c r="A1" s="30" t="str">
        <x:v>Supplier_ID</x:v>
      </x:c>
      <x:c r="B1" s="30" t="str">
        <x:v>Supplier_Name</x:v>
      </x:c>
      <x:c r="C1" s="30" t="str">
        <x:v>State</x:v>
      </x:c>
      <x:c r="D1" s="30" t="str">
        <x:v>Primary_Category_Focus</x:v>
      </x:c>
      <x:c r="E1" s="30" t="str">
        <x:v>Preferred_Supplier</x:v>
      </x:c>
    </x:row>
    <x:row r="2">
      <x:c r="A2" t="str">
        <x:v>SUP001</x:v>
      </x:c>
      <x:c r="B2" t="str">
        <x:v>Deccan Cement Supplies</x:v>
      </x:c>
      <x:c r="C2" t="str">
        <x:v>Telangana</x:v>
      </x:c>
      <x:c r="D2" t="str">
        <x:v>Cement &amp; Concrete</x:v>
      </x:c>
      <x:c r="E2" t="str">
        <x:v>Yes</x:v>
      </x:c>
    </x:row>
    <x:row r="3">
      <x:c r="A3" t="str">
        <x:v>SUP002</x:v>
      </x:c>
      <x:c r="B3" t="str">
        <x:v>Metro Steel Traders</x:v>
      </x:c>
      <x:c r="C3" t="str">
        <x:v>Telangana</x:v>
      </x:c>
      <x:c r="D3" t="str">
        <x:v>Steel</x:v>
      </x:c>
      <x:c r="E3" t="str">
        <x:v>Yes</x:v>
      </x:c>
    </x:row>
    <x:row r="4">
      <x:c r="A4" t="str">
        <x:v>SUP003</x:v>
      </x:c>
      <x:c r="B4" t="str">
        <x:v>BuildRight Aggregates</x:v>
      </x:c>
      <x:c r="C4" t="str">
        <x:v>Telangana</x:v>
      </x:c>
      <x:c r="D4" t="str">
        <x:v>Cement &amp; Concrete, Aggregates</x:v>
      </x:c>
      <x:c r="E4" t="str">
        <x:v>No</x:v>
      </x:c>
    </x:row>
    <x:row r="5">
      <x:c r="A5" t="str">
        <x:v>SUP004</x:v>
      </x:c>
      <x:c r="B5" t="str">
        <x:v>Southline Electricals</x:v>
      </x:c>
      <x:c r="C5" t="str">
        <x:v>Telangana</x:v>
      </x:c>
      <x:c r="D5" t="str">
        <x:v>Electrical</x:v>
      </x:c>
      <x:c r="E5" t="str">
        <x:v>Yes</x:v>
      </x:c>
    </x:row>
    <x:row r="6">
      <x:c r="A6" t="str">
        <x:v>SUP005</x:v>
      </x:c>
      <x:c r="B6" t="str">
        <x:v>AquaFlow Pipes &amp; Fittings</x:v>
      </x:c>
      <x:c r="C6" t="str">
        <x:v>Telangana</x:v>
      </x:c>
      <x:c r="D6" t="str">
        <x:v>Plumbing</x:v>
      </x:c>
      <x:c r="E6" t="str">
        <x:v>No</x:v>
      </x:c>
    </x:row>
    <x:row r="7">
      <x:c r="A7" t="str">
        <x:v>SUP006</x:v>
      </x:c>
      <x:c r="B7" t="str">
        <x:v>SafeSite Industrial</x:v>
      </x:c>
      <x:c r="C7" t="str">
        <x:v>Karnataka</x:v>
      </x:c>
      <x:c r="D7" t="str">
        <x:v>Safety</x:v>
      </x:c>
      <x:c r="E7" t="str">
        <x:v>No</x:v>
      </x:c>
    </x:row>
    <x:row r="8">
      <x:c r="A8" t="str">
        <x:v>SUP007</x:v>
      </x:c>
      <x:c r="B8" t="str">
        <x:v>Precision Tools India</x:v>
      </x:c>
      <x:c r="C8" t="str">
        <x:v>Telangana</x:v>
      </x:c>
      <x:c r="D8" t="str">
        <x:v>Safety, Tools, Consumables</x:v>
      </x:c>
      <x:c r="E8" t="str">
        <x:v>No</x:v>
      </x:c>
    </x:row>
    <x:row r="9">
      <x:c r="A9" t="str">
        <x:v>SUP008</x:v>
      </x:c>
      <x:c r="B9" t="str">
        <x:v>Prime Office Solutions</x:v>
      </x:c>
      <x:c r="C9" t="str">
        <x:v>Telangana</x:v>
      </x:c>
      <x:c r="D9" t="str">
        <x:v>Office Supplies</x:v>
      </x:c>
      <x:c r="E9" t="str">
        <x:v>Yes</x:v>
      </x:c>
    </x:row>
    <x:row r="10">
      <x:c r="A10" t="str">
        <x:v>SUP009</x:v>
      </x:c>
      <x:c r="B10" t="str">
        <x:v>Nava Bharat Hardware</x:v>
      </x:c>
      <x:c r="C10" t="str">
        <x:v>Andhra Pradesh</x:v>
      </x:c>
      <x:c r="D10" t="str">
        <x:v>Steel, Masonry, Plumbing</x:v>
      </x:c>
      <x:c r="E10" t="str">
        <x:v>Yes</x:v>
      </x:c>
    </x:row>
    <x:row r="11">
      <x:c r="A11" t="str">
        <x:v>SUP010</x:v>
      </x:c>
      <x:c r="B11" t="str">
        <x:v>Urban Infra Materials</x:v>
      </x:c>
      <x:c r="C11" t="str">
        <x:v>Karnataka</x:v>
      </x:c>
      <x:c r="D11" t="str">
        <x:v>Formwork, Finishes</x:v>
      </x:c>
      <x:c r="E11" t="str">
        <x:v>No</x:v>
      </x:c>
    </x:row>
    <x:row r="12">
      <x:c r="A12" t="str">
        <x:v>SUP011</x:v>
      </x:c>
      <x:c r="B12" t="str">
        <x:v>Vertex Industrial Supply</x:v>
      </x:c>
      <x:c r="C12" t="str">
        <x:v>Maharashtra</x:v>
      </x:c>
      <x:c r="D12" t="str">
        <x:v>Steel, Electrical, Finishes</x:v>
      </x:c>
      <x:c r="E12" t="str">
        <x:v>No</x:v>
      </x:c>
    </x:row>
    <x:row r="13">
      <x:c r="A13" t="str">
        <x:v>SUP012</x:v>
      </x:c>
      <x:c r="B13" t="str">
        <x:v>GreenField Construction Supply</x:v>
      </x:c>
      <x:c r="C13" t="str">
        <x:v>Telangana</x:v>
      </x:c>
      <x:c r="D13" t="str">
        <x:v>Cement &amp; Concrete, Aggregates, Masonry</x:v>
      </x:c>
      <x:c r="E13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173869d21c3e4d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4" hidden="0" customWidth="1"/>
    <x:col min="4" max="4" width="28" hidden="0" customWidth="1"/>
    <x:col min="5" max="5" width="20" hidden="0" customWidth="1"/>
    <x:col min="6" max="6" width="4" hidden="0" customWidth="1"/>
    <x:col min="7" max="7" width="14" hidden="0" customWidth="1"/>
    <x:col min="8" max="8" width="18" hidden="0" customWidth="1"/>
  </x:cols>
  <x:sheetData>
    <x:row r="1">
      <x:c r="A1" s="5" t="str">
        <x:v>SAP MM Procure-to-Pay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Total PO Spend (₹)</x:v>
      </x:c>
      <x:c r="B4" s="48" t="n">
        <x:f>ROUND(SUM(P2P_Data!Z2:Z241),0)</x:f>
        <x:v>28304713</x:v>
      </x:c>
      <x:c r="D4" s="12" t="str">
        <x:v>PO Line Records</x:v>
      </x:c>
      <x:c r="E4" s="50" t="n">
        <x:f>COUNTA(P2P_Data!M2:M241)</x:f>
        <x:v>240</x:v>
      </x:c>
      <x:c r="G4" s="12" t="str">
        <x:v>Suppliers</x:v>
      </x:c>
      <x:c r="H4" s="50" t="n">
        <x:f>COUNTA(Supplier_Master!A2:A13)</x:f>
        <x:v>12</x:v>
      </x:c>
    </x:row>
    <x:row r="7">
      <x:c r="A7" s="12" t="str">
        <x:v>On-Time Delivery %</x:v>
      </x:c>
      <x:c r="B7" s="52" t="n">
        <x:f>COUNTIF(P2P_Data!AB2:AB241,"On Time")/(COUNTIF(P2P_Data!AB2:AB241,"On Time")+COUNTIF(P2P_Data!AB2:AB241,"Late"))</x:f>
        <x:v>0.8294930875576036</x:v>
      </x:c>
      <x:c r="D7" s="12" t="str">
        <x:v>3-Way Match %</x:v>
      </x:c>
      <x:c r="E7" s="52" t="n">
        <x:f>COUNTIF(P2P_Data!AE2:AE241,"Matched")/(COUNTIF(P2P_Data!AE2:AE241,"Matched")+COUNTIF(P2P_Data!AE2:AE241,"Exception"))</x:f>
        <x:v>0.815668202764977</x:v>
      </x:c>
      <x:c r="G7" s="12" t="str">
        <x:v>Open PO Lines</x:v>
      </x:c>
      <x:c r="H7" s="50" t="n">
        <x:f>COUNTIF(P2P_Data!AE2:AE241,"Open")</x:f>
        <x:v>23</x:v>
      </x:c>
    </x:row>
    <x:row r="10">
      <x:c r="A10" s="12" t="str">
        <x:v>Avg Lead Time (days)</x:v>
      </x:c>
      <x:c r="B10" s="54" t="n">
        <x:f>AVERAGEIF(P2P_Data!AA2:AA241,"&gt;0",P2P_Data!AA2:AA241)</x:f>
        <x:v>10.953917050691244</x:v>
      </x:c>
      <x:c r="D10" s="12" t="str">
        <x:v>Exception Lines</x:v>
      </x:c>
      <x:c r="E10" s="50" t="n">
        <x:f>COUNTIF(P2P_Data!AE2:AE241,"Exception")</x:f>
        <x:v>40</x:v>
      </x:c>
      <x:c r="G10" s="12" t="str">
        <x:v>Late Deliveries</x:v>
      </x:c>
      <x:c r="H10" s="50" t="n">
        <x:f>COUNTIF(P2P_Data!AB2:AB241,"Late")</x:f>
        <x:v>37</x:v>
      </x:c>
    </x:row>
    <x:row r="14">
      <x:c r="A14" s="30" t="str">
        <x:v>Material Group</x:v>
      </x:c>
      <x:c r="B14" s="30" t="str">
        <x:v>PO Spend (₹)</x:v>
      </x:c>
      <x:c r="D14" s="30" t="str">
        <x:v>Supplier</x:v>
      </x:c>
      <x:c r="E14" s="30" t="str">
        <x:v>PO Spend (₹)</x:v>
      </x:c>
      <x:c r="G14" s="30" t="str">
        <x:v>Month</x:v>
      </x:c>
      <x:c r="H14" s="30" t="str">
        <x:v>PO Spend (₹)</x:v>
      </x:c>
    </x:row>
    <x:row r="15">
      <x:c r="A15" t="str">
        <x:v>Aggregates</x:v>
      </x:c>
      <x:c r="B15" s="56" t="n">
        <x:f>ROUND(SUMIF(P2P_Data!G$2:G$241,A15,P2P_Data!Z$2:Z$241),0)</x:f>
        <x:v>444807</x:v>
      </x:c>
      <x:c r="D15" t="str">
        <x:v>Deccan Cement Supplies</x:v>
      </x:c>
      <x:c r="E15" s="56" t="n">
        <x:f>ROUND(SUMIF(P2P_Data!J$2:J$241,D15,P2P_Data!Z$2:Z$241),0)</x:f>
        <x:v>430747</x:v>
      </x:c>
      <x:c r="G15" s="58" t="str">
        <x:v>Jan-26</x:v>
      </x:c>
      <x:c r="H15" s="56" t="n">
        <x:f>ROUND(SUMIFS(P2P_Data!Z$2:Z$241,P2P_Data!N$2:N$241,"&gt;="&amp;DATE(2026,1,1),P2P_Data!N$2:N$241,"&lt;"&amp;DATE(2026,2,1)),0)</x:f>
        <x:v>2586973</x:v>
      </x:c>
    </x:row>
    <x:row r="16">
      <x:c r="A16" t="str">
        <x:v>Cement &amp; Concrete</x:v>
      </x:c>
      <x:c r="B16" s="56" t="n">
        <x:f>ROUND(SUMIF(P2P_Data!G$2:G$241,A16,P2P_Data!Z$2:Z$241),0)</x:f>
        <x:v>866124</x:v>
      </x:c>
      <x:c r="D16" t="str">
        <x:v>Metro Steel Traders</x:v>
      </x:c>
      <x:c r="E16" s="56" t="n">
        <x:f>ROUND(SUMIF(P2P_Data!J$2:J$241,D16,P2P_Data!Z$2:Z$241),0)</x:f>
        <x:v>313421</x:v>
      </x:c>
      <x:c r="G16" s="58" t="str">
        <x:v>Feb-26</x:v>
      </x:c>
      <x:c r="H16" s="56" t="n">
        <x:f>ROUND(SUMIFS(P2P_Data!Z$2:Z$241,P2P_Data!N$2:N$241,"&gt;="&amp;DATE(2026,2,1),P2P_Data!N$2:N$241,"&lt;"&amp;DATE(2026,3,1)),0)</x:f>
        <x:v>3913553</x:v>
      </x:c>
    </x:row>
    <x:row r="17">
      <x:c r="A17" t="str">
        <x:v>Consumables</x:v>
      </x:c>
      <x:c r="B17" s="56" t="n">
        <x:f>ROUND(SUMIF(P2P_Data!G$2:G$241,A17,P2P_Data!Z$2:Z$241),0)</x:f>
        <x:v>4823551</x:v>
      </x:c>
      <x:c r="D17" t="str">
        <x:v>BuildRight Aggregates</x:v>
      </x:c>
      <x:c r="E17" s="56" t="n">
        <x:f>ROUND(SUMIF(P2P_Data!J$2:J$241,D17,P2P_Data!Z$2:Z$241),0)</x:f>
        <x:v>476656</x:v>
      </x:c>
      <x:c r="G17" s="58" t="str">
        <x:v>Mar-26</x:v>
      </x:c>
      <x:c r="H17" s="56" t="n">
        <x:f>ROUND(SUMIFS(P2P_Data!Z$2:Z$241,P2P_Data!N$2:N$241,"&gt;="&amp;DATE(2026,3,1),P2P_Data!N$2:N$241,"&lt;"&amp;DATE(2026,4,1)),0)</x:f>
        <x:v>4184493</x:v>
      </x:c>
    </x:row>
    <x:row r="18">
      <x:c r="A18" t="str">
        <x:v>Electrical</x:v>
      </x:c>
      <x:c r="B18" s="56" t="n">
        <x:f>ROUND(SUMIF(P2P_Data!G$2:G$241,A18,P2P_Data!Z$2:Z$241),0)</x:f>
        <x:v>1235148</x:v>
      </x:c>
      <x:c r="D18" t="str">
        <x:v>Southline Electricals</x:v>
      </x:c>
      <x:c r="E18" s="56" t="n">
        <x:f>ROUND(SUMIF(P2P_Data!J$2:J$241,D18,P2P_Data!Z$2:Z$241),0)</x:f>
        <x:v>1004772</x:v>
      </x:c>
      <x:c r="G18" s="58" t="str">
        <x:v>Apr-26</x:v>
      </x:c>
      <x:c r="H18" s="56" t="n">
        <x:f>ROUND(SUMIFS(P2P_Data!Z$2:Z$241,P2P_Data!N$2:N$241,"&gt;="&amp;DATE(2026,4,1),P2P_Data!N$2:N$241,"&lt;"&amp;DATE(2026,5,1)),0)</x:f>
        <x:v>2731561</x:v>
      </x:c>
    </x:row>
    <x:row r="19">
      <x:c r="A19" t="str">
        <x:v>Finishes</x:v>
      </x:c>
      <x:c r="B19" s="56" t="n">
        <x:f>ROUND(SUMIF(P2P_Data!G$2:G$241,A19,P2P_Data!Z$2:Z$241),0)</x:f>
        <x:v>1856097</x:v>
      </x:c>
      <x:c r="D19" t="str">
        <x:v>AquaFlow Pipes &amp; Fittings</x:v>
      </x:c>
      <x:c r="E19" s="56" t="n">
        <x:f>ROUND(SUMIF(P2P_Data!J$2:J$241,D19,P2P_Data!Z$2:Z$241),0)</x:f>
        <x:v>1886472</x:v>
      </x:c>
      <x:c r="G19" s="58" t="str">
        <x:v>May-26</x:v>
      </x:c>
      <x:c r="H19" s="56" t="n">
        <x:f>ROUND(SUMIFS(P2P_Data!Z$2:Z$241,P2P_Data!N$2:N$241,"&gt;="&amp;DATE(2026,5,1),P2P_Data!N$2:N$241,"&lt;"&amp;DATE(2026,6,1)),0)</x:f>
        <x:v>2375812</x:v>
      </x:c>
    </x:row>
    <x:row r="20">
      <x:c r="A20" t="str">
        <x:v>Formwork</x:v>
      </x:c>
      <x:c r="B20" s="56" t="n">
        <x:f>ROUND(SUMIF(P2P_Data!G$2:G$241,A20,P2P_Data!Z$2:Z$241),0)</x:f>
        <x:v>2149556</x:v>
      </x:c>
      <x:c r="D20" t="str">
        <x:v>SafeSite Industrial</x:v>
      </x:c>
      <x:c r="E20" s="56" t="n">
        <x:f>ROUND(SUMIF(P2P_Data!J$2:J$241,D20,P2P_Data!Z$2:Z$241),0)</x:f>
        <x:v>281628</x:v>
      </x:c>
      <x:c r="G20" s="58" t="str">
        <x:v>Jun-26</x:v>
      </x:c>
      <x:c r="H20" s="56" t="n">
        <x:f>ROUND(SUMIFS(P2P_Data!Z$2:Z$241,P2P_Data!N$2:N$241,"&gt;="&amp;DATE(2026,6,1),P2P_Data!N$2:N$241,"&lt;"&amp;DATE(2026,7,1)),0)</x:f>
        <x:v>1527864</x:v>
      </x:c>
    </x:row>
    <x:row r="21">
      <x:c r="A21" t="str">
        <x:v>Hardware</x:v>
      </x:c>
      <x:c r="B21" s="56" t="n">
        <x:f>ROUND(SUMIF(P2P_Data!G$2:G$241,A21,P2P_Data!Z$2:Z$241),0)</x:f>
        <x:v>297445</x:v>
      </x:c>
      <x:c r="D21" t="str">
        <x:v>Precision Tools India</x:v>
      </x:c>
      <x:c r="E21" s="56" t="n">
        <x:f>ROUND(SUMIF(P2P_Data!J$2:J$241,D21,P2P_Data!Z$2:Z$241),0)</x:f>
        <x:v>4684051</x:v>
      </x:c>
      <x:c r="G21" s="58" t="str">
        <x:v>Jul-26</x:v>
      </x:c>
      <x:c r="H21" s="56" t="n">
        <x:f>ROUND(SUMIFS(P2P_Data!Z$2:Z$241,P2P_Data!N$2:N$241,"&gt;="&amp;DATE(2026,7,1),P2P_Data!N$2:N$241,"&lt;"&amp;DATE(2026,8,1)),0)</x:f>
        <x:v>2917943</x:v>
      </x:c>
    </x:row>
    <x:row r="22">
      <x:c r="A22" t="str">
        <x:v>Masonry</x:v>
      </x:c>
      <x:c r="B22" s="56" t="n">
        <x:f>ROUND(SUMIF(P2P_Data!G$2:G$241,A22,P2P_Data!Z$2:Z$241),0)</x:f>
        <x:v>52709</x:v>
      </x:c>
      <x:c r="D22" t="str">
        <x:v>Prime Office Solutions</x:v>
      </x:c>
      <x:c r="E22" s="56" t="n">
        <x:f>ROUND(SUMIF(P2P_Data!J$2:J$241,D22,P2P_Data!Z$2:Z$241),0)</x:f>
        <x:v>5763166</x:v>
      </x:c>
      <x:c r="G22" s="58" t="str">
        <x:v>Aug-26</x:v>
      </x:c>
      <x:c r="H22" s="56" t="n">
        <x:f>ROUND(SUMIFS(P2P_Data!Z$2:Z$241,P2P_Data!N$2:N$241,"&gt;="&amp;DATE(2026,8,1),P2P_Data!N$2:N$241,"&lt;"&amp;DATE(2026,9,1)),0)</x:f>
        <x:v>1652492</x:v>
      </x:c>
    </x:row>
    <x:row r="23">
      <x:c r="A23" t="str">
        <x:v>Office Supplies</x:v>
      </x:c>
      <x:c r="B23" s="56" t="n">
        <x:f>ROUND(SUMIF(P2P_Data!G$2:G$241,A23,P2P_Data!Z$2:Z$241),0)</x:f>
        <x:v>5763166</x:v>
      </x:c>
      <x:c r="D23" t="str">
        <x:v>Nava Bharat Hardware</x:v>
      </x:c>
      <x:c r="E23" s="56" t="n">
        <x:f>ROUND(SUMIF(P2P_Data!J$2:J$241,D23,P2P_Data!Z$2:Z$241),0)</x:f>
        <x:v>8490971</x:v>
      </x:c>
      <x:c r="G23" s="58" t="str">
        <x:v>Sep-26</x:v>
      </x:c>
      <x:c r="H23" s="56" t="n">
        <x:f>ROUND(SUMIFS(P2P_Data!Z$2:Z$241,P2P_Data!N$2:N$241,"&gt;="&amp;DATE(2026,9,1),P2P_Data!N$2:N$241,"&lt;"&amp;DATE(2026,10,1)),0)</x:f>
        <x:v>6414023</x:v>
      </x:c>
    </x:row>
    <x:row r="24">
      <x:c r="A24" t="str">
        <x:v>Plumbing</x:v>
      </x:c>
      <x:c r="B24" s="56" t="n">
        <x:f>ROUND(SUMIF(P2P_Data!G$2:G$241,A24,P2P_Data!Z$2:Z$241),0)</x:f>
        <x:v>2246690</x:v>
      </x:c>
      <x:c r="D24" t="str">
        <x:v>Urban Infra Materials</x:v>
      </x:c>
      <x:c r="E24" s="56" t="n">
        <x:f>ROUND(SUMIF(P2P_Data!J$2:J$241,D24,P2P_Data!Z$2:Z$241),0)</x:f>
        <x:v>1418909</x:v>
      </x:c>
    </x:row>
    <x:row r="25">
      <x:c r="A25" t="str">
        <x:v>Safety</x:v>
      </x:c>
      <x:c r="B25" s="56" t="n">
        <x:f>ROUND(SUMIF(P2P_Data!G$2:G$241,A25,P2P_Data!Z$2:Z$241),0)</x:f>
        <x:v>747021</x:v>
      </x:c>
      <x:c r="D25" t="str">
        <x:v>Vertex Industrial Supply</x:v>
      </x:c>
      <x:c r="E25" s="56" t="n">
        <x:f>ROUND(SUMIF(P2P_Data!J$2:J$241,D25,P2P_Data!Z$2:Z$241),0)</x:f>
        <x:v>1702624</x:v>
      </x:c>
    </x:row>
    <x:row r="26">
      <x:c r="A26" t="str">
        <x:v>Steel</x:v>
      </x:c>
      <x:c r="B26" s="56" t="n">
        <x:f>ROUND(SUMIF(P2P_Data!G$2:G$241,A26,P2P_Data!Z$2:Z$241),0)</x:f>
        <x:v>961630</x:v>
      </x:c>
      <x:c r="D26" t="str">
        <x:v>GreenField Construction Supply</x:v>
      </x:c>
      <x:c r="E26" s="56" t="n">
        <x:f>ROUND(SUMIF(P2P_Data!J$2:J$241,D26,P2P_Data!Z$2:Z$241),0)</x:f>
        <x:v>1851297</x:v>
      </x:c>
    </x:row>
    <x:row r="27">
      <x:c r="A27" t="str">
        <x:v>Tools</x:v>
      </x:c>
      <x:c r="B27" s="56" t="n">
        <x:f>ROUND(SUMIF(P2P_Data!G$2:G$241,A27,P2P_Data!Z$2:Z$241),0)</x:f>
        <x:v>6860768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4e576208073f44cc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5" t="str">
        <x:v>SAP MM Procure-to-Pay Process Map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30" t="str">
        <x:v>Step</x:v>
      </x:c>
      <x:c r="B4" s="30" t="str">
        <x:v>Business Meaning</x:v>
      </x:c>
    </x:row>
    <x:row r="5">
      <x:c r="A5" s="12" t="str">
        <x:v>1. Requirement Identified</x:v>
      </x:c>
      <x:c r="B5" s="16" t="str">
        <x:v>Business/user identifies a need for material or service.</x:v>
      </x:c>
    </x:row>
    <x:row r="6">
      <x:c r="A6" s="12" t="str">
        <x:v>2. Purchase Requisition (PR)</x:v>
      </x:c>
      <x:c r="B6" s="16" t="str">
        <x:v>Internal request to Purchasing specifying material/service, quantity and required date.</x:v>
      </x:c>
    </x:row>
    <x:row r="7">
      <x:c r="A7" s="12" t="str">
        <x:v>3. Source / Supplier Determination</x:v>
      </x:c>
      <x:c r="B7" s="16" t="str">
        <x:v>Purchasing identifies an appropriate supplier/source of supply.</x:v>
      </x:c>
    </x:row>
    <x:row r="8">
      <x:c r="A8" s="12" t="str">
        <x:v>4. Purchase Order (PO)</x:v>
      </x:c>
      <x:c r="B8" s="16" t="str">
        <x:v>Approved requirement is converted into a purchasing document sent to the supplier.</x:v>
      </x:c>
    </x:row>
    <x:row r="9">
      <x:c r="A9" s="12" t="str">
        <x:v>5. Goods Receipt (GR)</x:v>
      </x:c>
      <x:c r="B9" s="16" t="str">
        <x:v>Physical receipt is posted with reference to the PO; received quantity is recorded.</x:v>
      </x:c>
    </x:row>
    <x:row r="10">
      <x:c r="A10" s="12" t="str">
        <x:v>6. Invoice Verification</x:v>
      </x:c>
      <x:c r="B10" s="16" t="str">
        <x:v>Supplier invoice is checked against PO and GR; quantity/value exceptions are identified.</x:v>
      </x:c>
    </x:row>
    <x:row r="11">
      <x:c r="A11" s="12" t="str">
        <x:v>7. Payment</x:v>
      </x:c>
      <x:c r="B11" s="16" t="str">
        <x:v>Approved supplier liability is processed for payment according to payment terms.</x:v>
      </x:c>
    </x:row>
    <x:row r="13">
      <x:c r="A13" s="12" t="str">
        <x:v>Three-Way Match Logic</x:v>
      </x:c>
      <x:c r="B13" s="12"/>
      <x:c r="C13" s="12"/>
      <x:c r="D13" s="12"/>
      <x:c r="E13" s="12"/>
      <x:c r="F13" s="12"/>
      <x:c r="G13" s="12"/>
      <x:c r="H13" s="12"/>
    </x:row>
    <x:row r="14">
      <x:c r="A14" s="16" t="str">
        <x:v>PO vs GR: Was the ordered quantity received?  •  PO vs Invoice: Does invoice value align with the PO?  •  GR vs Invoice: Does the invoiced quantity align with what was received?  In this project, a line is marked 'Matched' only when receipt quantity, invoice quantity and invoice value align; otherwise it is flagged as an exception for review.</x:v>
      </x:c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16"/>
      <x:c r="B16" s="16"/>
      <x:c r="C16" s="16"/>
      <x:c r="D16" s="16"/>
      <x:c r="E16" s="16"/>
      <x:c r="F16" s="16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</x:sheetData>
  <x:mergeCells>
    <x:mergeCell ref="A1:H2"/>
    <x:mergeCell ref="A13:H13"/>
    <x:mergeCell ref="A14:H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5" hidden="0" customWidth="1"/>
  </x:cols>
  <x:sheetData>
    <x:row r="1">
      <x:c r="A1" s="5" t="str">
        <x:v>SAP MM Fresher Interview Notes — Project Talking Points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30" t="str">
        <x:v>Interview Question</x:v>
      </x:c>
      <x:c r="B4" s="30" t="str">
        <x:v>Answer</x:v>
      </x:c>
    </x:row>
    <x:row r="5">
      <x:c r="A5" s="12" t="str">
        <x:v>What is a Purchase Requisition?</x:v>
      </x:c>
      <x:c r="B5" s="16" t="str">
        <x:v>An internal request to procurement to procure a specified material/service quantity by a required date.</x:v>
      </x:c>
    </x:row>
    <x:row r="6">
      <x:c r="A6" s="12" t="str">
        <x:v>What is a Purchase Order?</x:v>
      </x:c>
      <x:c r="B6" s="16" t="str">
        <x:v>A formal purchasing document created after source determination/approval and issued to a supplier.</x:v>
      </x:c>
    </x:row>
    <x:row r="7">
      <x:c r="A7" s="12" t="str">
        <x:v>What is Goods Receipt?</x:v>
      </x:c>
      <x:c r="B7" s="16" t="str">
        <x:v>Posting that confirms physical receipt of ordered goods with reference to the PO.</x:v>
      </x:c>
    </x:row>
    <x:row r="8">
      <x:c r="A8" s="12" t="str">
        <x:v>What is Invoice Verification?</x:v>
      </x:c>
      <x:c r="B8" s="16" t="str">
        <x:v>Checking the supplier invoice against procurement documents before payment processing.</x:v>
      </x:c>
    </x:row>
    <x:row r="9">
      <x:c r="A9" s="12" t="str">
        <x:v>What is Three-Way Match?</x:v>
      </x:c>
      <x:c r="B9" s="16" t="str">
        <x:v>Comparison of Purchase Order, Goods Receipt and Supplier Invoice to identify quantity/value discrepancies.</x:v>
      </x:c>
    </x:row>
    <x:row r="10">
      <x:c r="A10" s="12" t="str">
        <x:v>What did this project analyze?</x:v>
      </x:c>
      <x:c r="B10" s="16" t="str">
        <x:v>Supplier spend, material-group spend, lead time, on-time delivery, open POs, and three-way-match exceptions.</x:v>
      </x:c>
    </x:row>
    <x:row r="11">
      <x:c r="A11" s="12" t="str">
        <x:v>What tools did you use?</x:v>
      </x:c>
      <x:c r="B11" s="16" t="str">
        <x:v>Excel formulas, structured tables, conditional formatting, KPI dashboard and SQL query design.</x:v>
      </x:c>
    </x:row>
    <x:row r="12">
      <x:c r="A12" s="12" t="str">
        <x:v>Was this a live SAP implementation?</x:v>
      </x:c>
      <x:c r="B12" s="16" t="str">
        <x:v>No. It is a synthetic SAP MM business-process simulation created for learning and portfolio demonstration.</x:v>
      </x:c>
    </x:row>
  </x:sheetData>
  <x:mergeCells>
    <x:mergeCell ref="A1:F2"/>
  </x:mergeCells>
  <x:pageMargins left="0.7" right="0.7" top="0.75" bottom="0.75" header="0.3" footer="0.3"/>
</x:worksheet>
</file>